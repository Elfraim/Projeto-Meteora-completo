
<file path=[Content_Types].xml><?xml version="1.0" encoding="utf-8"?>
<Types xmlns="http://schemas.openxmlformats.org/package/2006/content-types">
  <Default Extension="bin" ContentType="application/vnd.ms-office.vbaProject"/>
  <Default Extension="data" ContentType="application/vnd.openxmlformats-officedocument.model+data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Definition2.xml" ContentType="application/vnd.openxmlformats-officedocument.spreadsheetml.pivotCacheDefinition+xml"/>
  <Override PartName="/xl/pivotCache/pivotCacheDefinition3.xml" ContentType="application/vnd.openxmlformats-officedocument.spreadsheetml.pivotCacheDefinition+xml"/>
  <Override PartName="/xl/pivotCache/pivotCacheDefinition4.xml" ContentType="application/vnd.openxmlformats-officedocument.spreadsheetml.pivotCacheDefinition+xml"/>
  <Override PartName="/xl/pivotCache/pivotCacheDefinition5.xml" ContentType="application/vnd.openxmlformats-officedocument.spreadsheetml.pivotCacheDefinition+xml"/>
  <Override PartName="/xl/pivotCache/pivotCacheDefinition6.xml" ContentType="application/vnd.openxmlformats-officedocument.spreadsheetml.pivotCacheDefinition+xml"/>
  <Override PartName="/xl/pivotCache/pivotCacheDefinition7.xml" ContentType="application/vnd.openxmlformats-officedocument.spreadsheetml.pivotCacheDefinition+xml"/>
  <Override PartName="/xl/pivotCache/pivotCacheDefinition8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pivotCache/pivotCacheDefinition9.xml" ContentType="application/vnd.openxmlformats-officedocument.spreadsheetml.pivotCacheDefinition+xml"/>
  <Override PartName="/xl/slicerCaches/slicerCache1.xml" ContentType="application/vnd.ms-excel.slicerCache+xml"/>
  <Override PartName="/xl/slicerCaches/slicerCache2.xml" ContentType="application/vnd.ms-excel.slicerCache+xml"/>
  <Override PartName="/xl/pivotCache/pivotCacheDefinition10.xml" ContentType="application/vnd.openxmlformats-officedocument.spreadsheetml.pivotCacheDefinition+xml"/>
  <Override PartName="/xl/pivotCache/pivotCacheDefinition11.xml" ContentType="application/vnd.openxmlformats-officedocument.spreadsheetml.pivotCacheDefinition+xml"/>
  <Override PartName="/xl/timelineCaches/timelineCache1.xml" ContentType="application/vnd.ms-excel.timelineCache+xml"/>
  <Override PartName="/xl/timelineCaches/timelineCache2.xml" ContentType="application/vnd.ms-excel.timelineCache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tables/table1.xml" ContentType="application/vnd.openxmlformats-officedocument.spreadsheetml.table+xml"/>
  <Override PartName="/xl/drawings/drawing3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tables/table2.xml" ContentType="application/vnd.openxmlformats-officedocument.spreadsheetml.table+xml"/>
  <Override PartName="/xl/pivotTables/pivotTable2.xml" ContentType="application/vnd.openxmlformats-officedocument.spreadsheetml.pivotTable+xml"/>
  <Override PartName="/xl/pivotTables/pivotTable3.xml" ContentType="application/vnd.openxmlformats-officedocument.spreadsheetml.pivotTable+xml"/>
  <Override PartName="/xl/pivotTables/pivotTable4.xml" ContentType="application/vnd.openxmlformats-officedocument.spreadsheetml.pivotTable+xml"/>
  <Override PartName="/xl/drawings/drawing6.xml" ContentType="application/vnd.openxmlformats-officedocument.drawing+xml"/>
  <Override PartName="/xl/timelines/timeline1.xml" ContentType="application/vnd.ms-excel.timeline+xml"/>
  <Override PartName="/xl/tables/table3.xml" ContentType="application/vnd.openxmlformats-officedocument.spreadsheetml.table+xml"/>
  <Override PartName="/xl/queryTables/queryTable1.xml" ContentType="application/vnd.openxmlformats-officedocument.spreadsheetml.queryTable+xml"/>
  <Override PartName="/xl/drawings/drawing7.xml" ContentType="application/vnd.openxmlformats-officedocument.drawing+xml"/>
  <Override PartName="/xl/pivotTables/pivotTable5.xml" ContentType="application/vnd.openxmlformats-officedocument.spreadsheetml.pivotTable+xml"/>
  <Override PartName="/xl/pivotTables/pivotTable6.xml" ContentType="application/vnd.openxmlformats-officedocument.spreadsheetml.pivotTable+xml"/>
  <Override PartName="/xl/drawings/drawing8.xml" ContentType="application/vnd.openxmlformats-officedocument.drawing+xml"/>
  <Override PartName="/xl/slicers/slicer1.xml" ContentType="application/vnd.ms-excel.slicer+xml"/>
  <Override PartName="/xl/tables/table4.xml" ContentType="application/vnd.openxmlformats-officedocument.spreadsheetml.table+xml"/>
  <Override PartName="/xl/queryTables/queryTable2.xml" ContentType="application/vnd.openxmlformats-officedocument.spreadsheetml.queryTable+xml"/>
  <Override PartName="/xl/pivotTables/pivotTable7.xml" ContentType="application/vnd.openxmlformats-officedocument.spreadsheetml.pivotTable+xml"/>
  <Override PartName="/xl/pivotTables/pivotTable8.xml" ContentType="application/vnd.openxmlformats-officedocument.spreadsheetml.pivotTable+xml"/>
  <Override PartName="/xl/drawings/drawing9.xml" ContentType="application/vnd.openxmlformats-officedocument.drawing+xml"/>
  <Override PartName="/xl/slicers/slicer2.xml" ContentType="application/vnd.ms-excel.slicer+xml"/>
  <Override PartName="/xl/timelines/timeline2.xml" ContentType="application/vnd.ms-excel.timeline+xml"/>
  <Override PartName="/xl/drawings/drawing10.xml" ContentType="application/vnd.openxmlformats-officedocument.drawing+xml"/>
  <Override PartName="/xl/pivotTables/pivotTable9.xml" ContentType="application/vnd.openxmlformats-officedocument.spreadsheetml.pivotTable+xml"/>
  <Override PartName="/xl/drawings/drawing1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drawings/drawing12.xml" ContentType="application/vnd.openxmlformats-officedocument.drawing+xml"/>
  <Override PartName="/xl/ctrlProps/ctrlProp2.xml" ContentType="application/vnd.ms-excel.controlproperties+xml"/>
  <Override PartName="/xl/ctrlProps/ctrlProp3.xml" ContentType="application/vnd.ms-excel.controlproperties+xml"/>
  <Override PartName="/xl/timelines/timeline3.xml" ContentType="application/vnd.ms-excel.timelin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13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customXml/itemProps4.xml" ContentType="application/vnd.openxmlformats-officedocument.customXmlProperties+xml"/>
  <Override PartName="/customXml/itemProps5.xml" ContentType="application/vnd.openxmlformats-officedocument.customXmlProperties+xml"/>
  <Override PartName="/customXml/itemProps6.xml" ContentType="application/vnd.openxmlformats-officedocument.customXmlProperties+xml"/>
  <Override PartName="/customXml/itemProps7.xml" ContentType="application/vnd.openxmlformats-officedocument.customXmlProperties+xml"/>
  <Override PartName="/customXml/itemProps8.xml" ContentType="application/vnd.openxmlformats-officedocument.customXmlProperties+xml"/>
  <Override PartName="/customXml/itemProps9.xml" ContentType="application/vnd.openxmlformats-officedocument.customXmlProperties+xml"/>
  <Override PartName="/customXml/itemProps10.xml" ContentType="application/vnd.openxmlformats-officedocument.customXmlProperties+xml"/>
  <Override PartName="/customXml/itemProps11.xml" ContentType="application/vnd.openxmlformats-officedocument.customXmlProperties+xml"/>
  <Override PartName="/customXml/itemProps12.xml" ContentType="application/vnd.openxmlformats-officedocument.customXmlProperties+xml"/>
  <Override PartName="/customXml/itemProps13.xml" ContentType="application/vnd.openxmlformats-officedocument.customXmlProperties+xml"/>
  <Override PartName="/customXml/itemProps14.xml" ContentType="application/vnd.openxmlformats-officedocument.customXmlProperties+xml"/>
  <Override PartName="/customXml/itemProps15.xml" ContentType="application/vnd.openxmlformats-officedocument.customXmlProperties+xml"/>
  <Override PartName="/customXml/itemProps16.xml" ContentType="application/vnd.openxmlformats-officedocument.customXmlProperties+xml"/>
  <Override PartName="/customXml/itemProps17.xml" ContentType="application/vnd.openxmlformats-officedocument.customXmlProperties+xml"/>
  <Override PartName="/customXml/itemProps18.xml" ContentType="application/vnd.openxmlformats-officedocument.customXmlProperties+xml"/>
  <Override PartName="/customXml/itemProps19.xml" ContentType="application/vnd.openxmlformats-officedocument.customXmlProperties+xml"/>
  <Override PartName="/customXml/itemProps20.xml" ContentType="application/vnd.openxmlformats-officedocument.customXmlProperties+xml"/>
  <Override PartName="/customXml/itemProps21.xml" ContentType="application/vnd.openxmlformats-officedocument.customXmlProperties+xml"/>
  <Override PartName="/customXml/itemProps22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 codeName="{DC747B9D-DBBB-FA85-71B4-595EBAB97821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C:\Users\efrai\Documents\Alura exercicios\curso excel\graficos\"/>
    </mc:Choice>
  </mc:AlternateContent>
  <xr:revisionPtr revIDLastSave="0" documentId="13_ncr:1_{57F76D6B-E870-4B4E-99D9-CEB83C9206CD}" xr6:coauthVersionLast="47" xr6:coauthVersionMax="47" xr10:uidLastSave="{00000000-0000-0000-0000-000000000000}"/>
  <bookViews>
    <workbookView xWindow="0" yWindow="0" windowWidth="13020" windowHeight="12360" tabRatio="532" activeTab="2" xr2:uid="{F6D97A53-F63B-4272-A181-44B26E0B790F}"/>
  </bookViews>
  <sheets>
    <sheet name="Menu" sheetId="25" r:id="rId1"/>
    <sheet name="Produtos" sheetId="17" r:id="rId2"/>
    <sheet name="Filtro Avançado" sheetId="49" r:id="rId3"/>
    <sheet name="DN_Vendedores" sheetId="40" r:id="rId4"/>
    <sheet name="Vendedores" sheetId="28" r:id="rId5"/>
    <sheet name="Vendas" sheetId="16" r:id="rId6"/>
    <sheet name="DN_Vendas_Hist" sheetId="48" r:id="rId7"/>
    <sheet name="Vendas Histórico" sheetId="43" r:id="rId8"/>
    <sheet name="Consultas" sheetId="24" r:id="rId9"/>
    <sheet name="DN_Produtos" sheetId="35" r:id="rId10"/>
    <sheet name="Planilha1" sheetId="41" state="hidden" r:id="rId11"/>
    <sheet name="DN_Vendas" sheetId="37" r:id="rId12"/>
    <sheet name="Cadastros Auxiliares" sheetId="23" state="hidden" r:id="rId13"/>
    <sheet name="PowerPivot" sheetId="39" r:id="rId14"/>
    <sheet name="Dashboard Histórico" sheetId="45" r:id="rId15"/>
    <sheet name="Dashboard" sheetId="18" r:id="rId16"/>
  </sheets>
  <definedNames>
    <definedName name="_xlnm._FilterDatabase" localSheetId="1" hidden="1">Produtos!$B$6:$G$66</definedName>
    <definedName name="_xlnm._FilterDatabase" localSheetId="5" hidden="1">Vendas!$C$4:$F$86</definedName>
    <definedName name="_xlcn.WorksheetConnection_MeteoraEcommerce.xlsxTB_Produtos1" hidden="1">TB_Produtos[]</definedName>
    <definedName name="_xlcn.WorksheetConnection_MeteoraEcommerce.xlsxTB_Vendas1" hidden="1">TB_Vendas[]</definedName>
    <definedName name="_xlcn.WorksheetConnection_MeteoraEcommercegraficodinamico.xlsxVendas__21" hidden="1">Vendas__2[]</definedName>
    <definedName name="_xlcn.WorksheetConnection_VendedoresA4D91" hidden="1">Vendedores!$A$4:$D$9</definedName>
    <definedName name="_xlnm.Extract" localSheetId="2">'Filtro Avançado'!$A$4:$F$4</definedName>
    <definedName name="_xlnm.Criteria" localSheetId="2">'Filtro Avançado'!$A$1:$F$2</definedName>
    <definedName name="DadosExternos_1" localSheetId="10" hidden="1">Planilha1!$A$3:$N$14</definedName>
    <definedName name="DadosExternos_1" localSheetId="7" hidden="1">'Vendas Histórico'!$A$1:$I$253</definedName>
    <definedName name="Desc_Categorias">'Cadastros Auxiliares'!$B$8:$E$8</definedName>
    <definedName name="Desc_Quantidades">'Cadastros Auxiliares'!$B$8:$B$13</definedName>
    <definedName name="Desc_TabelaToda">'Cadastros Auxiliares'!$B$8:$E$13</definedName>
    <definedName name="Int_Nome_Produtos">#REF!</definedName>
    <definedName name="Int_Quantidade">#REF!</definedName>
    <definedName name="SegmentaçãodeDados_Categoria">#N/A</definedName>
    <definedName name="SegmentaçãodeDados_Categoria1">#N/A</definedName>
    <definedName name="TB_Vendas_Hist">Vendas__2[#All]</definedName>
    <definedName name="Timeline_Data">#N/A</definedName>
    <definedName name="Timeline_Data1">#N/A</definedName>
  </definedNames>
  <calcPr calcId="191029"/>
  <pivotCaches>
    <pivotCache cacheId="0" r:id="rId17"/>
    <pivotCache cacheId="1" r:id="rId18"/>
    <pivotCache cacheId="2" r:id="rId19"/>
    <pivotCache cacheId="3" r:id="rId20"/>
    <pivotCache cacheId="4" r:id="rId21"/>
    <pivotCache cacheId="5" r:id="rId22"/>
    <pivotCache cacheId="6" r:id="rId23"/>
    <pivotCache cacheId="7" r:id="rId24"/>
  </pivotCaches>
  <extLst>
    <ext xmlns:x14="http://schemas.microsoft.com/office/spreadsheetml/2009/9/main" uri="{876F7934-8845-4945-9796-88D515C7AA90}">
      <x14:pivotCaches>
        <pivotCache cacheId="8" r:id="rId25"/>
      </x14:pivotCaches>
    </ext>
    <ext xmlns:x14="http://schemas.microsoft.com/office/spreadsheetml/2009/9/main" uri="{BBE1A952-AA13-448e-AADC-164F8A28A991}">
      <x14:slicerCaches>
        <x14:slicerCache r:id="rId26"/>
        <x14:slicerCache r:id="rId27"/>
      </x14:slicerCaches>
    </ext>
    <ext xmlns:x14="http://schemas.microsoft.com/office/spreadsheetml/2009/9/main" uri="{79F54976-1DA5-4618-B147-4CDE4B953A38}">
      <x14:workbookPr/>
    </ext>
    <ext xmlns:x15="http://schemas.microsoft.com/office/spreadsheetml/2010/11/main" uri="{A2CB5862-8E78-49c6-8D9D-AF26E26ADB89}">
      <x15:timelineCachePivotCaches>
        <pivotCache cacheId="9" r:id="rId28"/>
        <pivotCache cacheId="10" r:id="rId29"/>
      </x15:timelineCachePivotCaches>
    </ext>
    <ext xmlns:x15="http://schemas.microsoft.com/office/spreadsheetml/2010/11/main" uri="{D0CA8CA8-9F24-4464-BF8E-62219DCF47F9}">
      <x15:timelineCacheRefs>
        <x15:timelineCacheRef r:id="rId30"/>
        <x15:timelineCacheRef r:id="rId31"/>
      </x15:timelineCacheRefs>
    </ext>
    <ext xmlns:x15="http://schemas.microsoft.com/office/spreadsheetml/2010/11/main" uri="{140A7094-0E35-4892-8432-C4D2E57EDEB5}">
      <x15:workbookPr chartTrackingRefBase="1"/>
    </ext>
    <ext xmlns:x15="http://schemas.microsoft.com/office/spreadsheetml/2010/11/main" uri="{FCE2AD5D-F65C-4FA6-A056-5C36A1767C68}">
      <x15:dataModel>
        <x15:modelTables>
          <x15:modelTable id="Intervalo" name="Intervalo" connection="WorksheetConnection_Vendedores!$A$4:$D$9"/>
          <x15:modelTable id="TB_Vendas" name="TB_Vendas" connection="WorksheetConnection_Meteora Ecommerce.xlsx!TB_Vendas"/>
          <x15:modelTable id="TB_Produtos" name="TB_Produtos" connection="WorksheetConnection_Meteora Ecommerce.xlsx!TB_Produtos"/>
          <x15:modelTable id="Vendas__2" name="Vendas__2" connection="WorksheetConnection_Meteora Ecommerce - grafico dinamico.xlsx!Vendas__2"/>
        </x15:modelTables>
        <x15:modelRelationships>
          <x15:modelRelationship fromTable="TB_Vendas" fromColumn="Código" toTable="TB_Produtos" toColumn="Código"/>
          <x15:modelRelationship fromTable="TB_Vendas" fromColumn="Vendedor" toTable="Intervalo" toColumn="Código"/>
        </x15:modelRelationships>
        <x15:extLst>
          <ext xmlns:x16="http://schemas.microsoft.com/office/spreadsheetml/2014/11/main" uri="{9835A34E-60A6-4A7C-AAB8-D5F71C897F49}">
            <x16:modelTimeGroupings>
              <x16:modelTimeGrouping tableName="Vendas__2" columnName="Data" columnId="Data">
                <x16:calculatedTimeColumn columnName="Data (Ano)" columnId="Data (Ano)" contentType="years" isSelected="1"/>
                <x16:calculatedTimeColumn columnName="Data (Trimestre)" columnId="Data (Trimestre)" contentType="quarters" isSelected="1"/>
                <x16:calculatedTimeColumn columnName="Data (Índice de Mês)" columnId="Data (Índice de Mês)" contentType="monthsindex" isSelected="1"/>
                <x16:calculatedTimeColumn columnName="Data (Mês)" columnId="Data (Mês)" contentType="months" isSelected="1"/>
              </x16:modelTimeGrouping>
            </x16:modelTimeGroupings>
          </ext>
        </x15:extLst>
      </x15:dataModel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43" l="1"/>
  <c r="H3" i="43"/>
  <c r="H4" i="43"/>
  <c r="H5" i="43"/>
  <c r="H6" i="43"/>
  <c r="H7" i="43"/>
  <c r="H8" i="43"/>
  <c r="H9" i="43"/>
  <c r="H10" i="43"/>
  <c r="H11" i="43"/>
  <c r="H12" i="43"/>
  <c r="H13" i="43"/>
  <c r="H14" i="43"/>
  <c r="H15" i="43"/>
  <c r="H16" i="43"/>
  <c r="H17" i="43"/>
  <c r="H18" i="43"/>
  <c r="H19" i="43"/>
  <c r="H20" i="43"/>
  <c r="H21" i="43"/>
  <c r="H22" i="43"/>
  <c r="H23" i="43"/>
  <c r="H24" i="43"/>
  <c r="H25" i="43"/>
  <c r="H26" i="43"/>
  <c r="H27" i="43"/>
  <c r="H28" i="43"/>
  <c r="H29" i="43"/>
  <c r="H30" i="43"/>
  <c r="H31" i="43"/>
  <c r="H32" i="43"/>
  <c r="H33" i="43"/>
  <c r="H34" i="43"/>
  <c r="H35" i="43"/>
  <c r="H36" i="43"/>
  <c r="H37" i="43"/>
  <c r="H38" i="43"/>
  <c r="H39" i="43"/>
  <c r="H40" i="43"/>
  <c r="H41" i="43"/>
  <c r="H42" i="43"/>
  <c r="H43" i="43"/>
  <c r="H44" i="43"/>
  <c r="H45" i="43"/>
  <c r="H46" i="43"/>
  <c r="H47" i="43"/>
  <c r="H48" i="43"/>
  <c r="H49" i="43"/>
  <c r="H50" i="43"/>
  <c r="H51" i="43"/>
  <c r="H52" i="43"/>
  <c r="H53" i="43"/>
  <c r="H54" i="43"/>
  <c r="H55" i="43"/>
  <c r="H56" i="43"/>
  <c r="H57" i="43"/>
  <c r="H58" i="43"/>
  <c r="H59" i="43"/>
  <c r="H60" i="43"/>
  <c r="H61" i="43"/>
  <c r="H62" i="43"/>
  <c r="H63" i="43"/>
  <c r="H64" i="43"/>
  <c r="H65" i="43"/>
  <c r="H66" i="43"/>
  <c r="H67" i="43"/>
  <c r="H68" i="43"/>
  <c r="H69" i="43"/>
  <c r="H70" i="43"/>
  <c r="H71" i="43"/>
  <c r="H72" i="43"/>
  <c r="H73" i="43"/>
  <c r="H74" i="43"/>
  <c r="H75" i="43"/>
  <c r="H76" i="43"/>
  <c r="H77" i="43"/>
  <c r="H78" i="43"/>
  <c r="H79" i="43"/>
  <c r="H80" i="43"/>
  <c r="H81" i="43"/>
  <c r="H82" i="43"/>
  <c r="H83" i="43"/>
  <c r="H84" i="43"/>
  <c r="H85" i="43"/>
  <c r="H86" i="43"/>
  <c r="H87" i="43"/>
  <c r="H88" i="43"/>
  <c r="H89" i="43"/>
  <c r="H90" i="43"/>
  <c r="H91" i="43"/>
  <c r="H92" i="43"/>
  <c r="H93" i="43"/>
  <c r="H94" i="43"/>
  <c r="H95" i="43"/>
  <c r="H96" i="43"/>
  <c r="H97" i="43"/>
  <c r="H98" i="43"/>
  <c r="H99" i="43"/>
  <c r="H100" i="43"/>
  <c r="H101" i="43"/>
  <c r="H102" i="43"/>
  <c r="H103" i="43"/>
  <c r="H104" i="43"/>
  <c r="H105" i="43"/>
  <c r="H106" i="43"/>
  <c r="H107" i="43"/>
  <c r="H108" i="43"/>
  <c r="H109" i="43"/>
  <c r="H110" i="43"/>
  <c r="H111" i="43"/>
  <c r="H112" i="43"/>
  <c r="H113" i="43"/>
  <c r="H114" i="43"/>
  <c r="H115" i="43"/>
  <c r="H116" i="43"/>
  <c r="H117" i="43"/>
  <c r="H118" i="43"/>
  <c r="H119" i="43"/>
  <c r="H120" i="43"/>
  <c r="H121" i="43"/>
  <c r="H122" i="43"/>
  <c r="H123" i="43"/>
  <c r="H124" i="43"/>
  <c r="H125" i="43"/>
  <c r="H126" i="43"/>
  <c r="H127" i="43"/>
  <c r="H128" i="43"/>
  <c r="H129" i="43"/>
  <c r="H130" i="43"/>
  <c r="H131" i="43"/>
  <c r="H132" i="43"/>
  <c r="H133" i="43"/>
  <c r="H134" i="43"/>
  <c r="H135" i="43"/>
  <c r="H136" i="43"/>
  <c r="H137" i="43"/>
  <c r="H138" i="43"/>
  <c r="H139" i="43"/>
  <c r="H140" i="43"/>
  <c r="H141" i="43"/>
  <c r="H142" i="43"/>
  <c r="H143" i="43"/>
  <c r="H144" i="43"/>
  <c r="H145" i="43"/>
  <c r="H146" i="43"/>
  <c r="H147" i="43"/>
  <c r="H148" i="43"/>
  <c r="H149" i="43"/>
  <c r="H150" i="43"/>
  <c r="H151" i="43"/>
  <c r="H152" i="43"/>
  <c r="H153" i="43"/>
  <c r="H154" i="43"/>
  <c r="H155" i="43"/>
  <c r="H156" i="43"/>
  <c r="H157" i="43"/>
  <c r="H158" i="43"/>
  <c r="H159" i="43"/>
  <c r="H160" i="43"/>
  <c r="H161" i="43"/>
  <c r="H162" i="43"/>
  <c r="H163" i="43"/>
  <c r="H164" i="43"/>
  <c r="H165" i="43"/>
  <c r="H166" i="43"/>
  <c r="H167" i="43"/>
  <c r="H168" i="43"/>
  <c r="H169" i="43"/>
  <c r="H170" i="43"/>
  <c r="H171" i="43"/>
  <c r="H172" i="43"/>
  <c r="H173" i="43"/>
  <c r="H174" i="43"/>
  <c r="H175" i="43"/>
  <c r="H176" i="43"/>
  <c r="H177" i="43"/>
  <c r="H178" i="43"/>
  <c r="H179" i="43"/>
  <c r="H180" i="43"/>
  <c r="H181" i="43"/>
  <c r="H182" i="43"/>
  <c r="H183" i="43"/>
  <c r="H184" i="43"/>
  <c r="H185" i="43"/>
  <c r="H186" i="43"/>
  <c r="H187" i="43"/>
  <c r="H188" i="43"/>
  <c r="H189" i="43"/>
  <c r="H190" i="43"/>
  <c r="H191" i="43"/>
  <c r="H192" i="43"/>
  <c r="H193" i="43"/>
  <c r="H194" i="43"/>
  <c r="H195" i="43"/>
  <c r="H196" i="43"/>
  <c r="H197" i="43"/>
  <c r="H198" i="43"/>
  <c r="H199" i="43"/>
  <c r="H200" i="43"/>
  <c r="H201" i="43"/>
  <c r="H202" i="43"/>
  <c r="H203" i="43"/>
  <c r="H204" i="43"/>
  <c r="H205" i="43"/>
  <c r="H206" i="43"/>
  <c r="H207" i="43"/>
  <c r="H208" i="43"/>
  <c r="H209" i="43"/>
  <c r="H210" i="43"/>
  <c r="H211" i="43"/>
  <c r="H212" i="43"/>
  <c r="H213" i="43"/>
  <c r="H214" i="43"/>
  <c r="H215" i="43"/>
  <c r="H216" i="43"/>
  <c r="H217" i="43"/>
  <c r="H218" i="43"/>
  <c r="H219" i="43"/>
  <c r="H220" i="43"/>
  <c r="H221" i="43"/>
  <c r="H222" i="43"/>
  <c r="H223" i="43"/>
  <c r="H224" i="43"/>
  <c r="H225" i="43"/>
  <c r="H226" i="43"/>
  <c r="H227" i="43"/>
  <c r="H228" i="43"/>
  <c r="H229" i="43"/>
  <c r="H230" i="43"/>
  <c r="H231" i="43"/>
  <c r="H232" i="43"/>
  <c r="H233" i="43"/>
  <c r="H234" i="43"/>
  <c r="H235" i="43"/>
  <c r="H236" i="43"/>
  <c r="H237" i="43"/>
  <c r="H238" i="43"/>
  <c r="H239" i="43"/>
  <c r="H240" i="43"/>
  <c r="H241" i="43"/>
  <c r="H242" i="43"/>
  <c r="H243" i="43"/>
  <c r="H244" i="43"/>
  <c r="H245" i="43"/>
  <c r="H246" i="43"/>
  <c r="H247" i="43"/>
  <c r="H248" i="43"/>
  <c r="H249" i="43"/>
  <c r="H250" i="43"/>
  <c r="H251" i="43"/>
  <c r="H252" i="43"/>
  <c r="H253" i="43"/>
  <c r="F5" i="48"/>
  <c r="F6" i="48"/>
  <c r="F4" i="48"/>
  <c r="W4" i="18"/>
  <c r="G5" i="16"/>
  <c r="G6" i="16"/>
  <c r="G7" i="16"/>
  <c r="G8" i="16"/>
  <c r="G9" i="16"/>
  <c r="G10" i="16"/>
  <c r="G11" i="16"/>
  <c r="G12" i="16"/>
  <c r="G13" i="16"/>
  <c r="G14" i="16"/>
  <c r="G15" i="16"/>
  <c r="G16" i="16"/>
  <c r="G17" i="16"/>
  <c r="G18" i="16"/>
  <c r="G19" i="16"/>
  <c r="G20" i="16"/>
  <c r="G21" i="16"/>
  <c r="G22" i="16"/>
  <c r="G23" i="16"/>
  <c r="G24" i="16"/>
  <c r="G25" i="16"/>
  <c r="G26" i="16"/>
  <c r="G27" i="16"/>
  <c r="G28" i="16"/>
  <c r="G29" i="16"/>
  <c r="G30" i="16"/>
  <c r="G31" i="16"/>
  <c r="G32" i="16"/>
  <c r="G33" i="16"/>
  <c r="G34" i="16"/>
  <c r="G35" i="16"/>
  <c r="G36" i="16"/>
  <c r="G37" i="16"/>
  <c r="G38" i="16"/>
  <c r="G39" i="16"/>
  <c r="G40" i="16"/>
  <c r="G41" i="16"/>
  <c r="G42" i="16"/>
  <c r="G43" i="16"/>
  <c r="G44" i="16"/>
  <c r="G45" i="16"/>
  <c r="G46" i="16"/>
  <c r="G47" i="16"/>
  <c r="G48" i="16"/>
  <c r="G49" i="16"/>
  <c r="G50" i="16"/>
  <c r="G51" i="16"/>
  <c r="G52" i="16"/>
  <c r="G53" i="16"/>
  <c r="G54" i="16"/>
  <c r="G55" i="16"/>
  <c r="G56" i="16"/>
  <c r="G57" i="16"/>
  <c r="G58" i="16"/>
  <c r="G59" i="16"/>
  <c r="G60" i="16"/>
  <c r="G61" i="16"/>
  <c r="G62" i="16"/>
  <c r="G63" i="16"/>
  <c r="G64" i="16"/>
  <c r="G65" i="16"/>
  <c r="G66" i="16"/>
  <c r="G67" i="16"/>
  <c r="G68" i="16"/>
  <c r="G69" i="16"/>
  <c r="G70" i="16"/>
  <c r="G71" i="16"/>
  <c r="G72" i="16"/>
  <c r="G73" i="16"/>
  <c r="G74" i="16"/>
  <c r="G75" i="16"/>
  <c r="G76" i="16"/>
  <c r="G77" i="16"/>
  <c r="G78" i="16"/>
  <c r="G79" i="16"/>
  <c r="G80" i="16"/>
  <c r="G81" i="16"/>
  <c r="G82" i="16"/>
  <c r="G83" i="16"/>
  <c r="G84" i="16"/>
  <c r="G85" i="16"/>
  <c r="G86" i="16"/>
  <c r="C10" i="24"/>
  <c r="C9" i="24"/>
  <c r="C13" i="24" s="1"/>
  <c r="E5" i="16"/>
  <c r="H5" i="16" s="1"/>
  <c r="I5" i="16" s="1"/>
  <c r="E6" i="16"/>
  <c r="H6" i="16" s="1"/>
  <c r="I6" i="16" s="1"/>
  <c r="E7" i="16"/>
  <c r="H7" i="16" s="1"/>
  <c r="I7" i="16" s="1"/>
  <c r="E8" i="16"/>
  <c r="H8" i="16" s="1"/>
  <c r="I8" i="16" s="1"/>
  <c r="E9" i="16"/>
  <c r="H9" i="16" s="1"/>
  <c r="I9" i="16" s="1"/>
  <c r="E10" i="16"/>
  <c r="H10" i="16" s="1"/>
  <c r="I10" i="16" s="1"/>
  <c r="E11" i="16"/>
  <c r="H11" i="16" s="1"/>
  <c r="I11" i="16" s="1"/>
  <c r="E12" i="16"/>
  <c r="H12" i="16" s="1"/>
  <c r="I12" i="16" s="1"/>
  <c r="E13" i="16"/>
  <c r="H13" i="16" s="1"/>
  <c r="I13" i="16" s="1"/>
  <c r="E14" i="16"/>
  <c r="H14" i="16" s="1"/>
  <c r="I14" i="16" s="1"/>
  <c r="E15" i="16"/>
  <c r="H15" i="16" s="1"/>
  <c r="I15" i="16" s="1"/>
  <c r="E16" i="16"/>
  <c r="H16" i="16" s="1"/>
  <c r="I16" i="16" s="1"/>
  <c r="E17" i="16"/>
  <c r="H17" i="16" s="1"/>
  <c r="I17" i="16" s="1"/>
  <c r="E18" i="16"/>
  <c r="H18" i="16" s="1"/>
  <c r="I18" i="16" s="1"/>
  <c r="E19" i="16"/>
  <c r="H19" i="16" s="1"/>
  <c r="I19" i="16" s="1"/>
  <c r="E20" i="16"/>
  <c r="H20" i="16" s="1"/>
  <c r="I20" i="16" s="1"/>
  <c r="E21" i="16"/>
  <c r="H21" i="16" s="1"/>
  <c r="I21" i="16" s="1"/>
  <c r="E22" i="16"/>
  <c r="H22" i="16" s="1"/>
  <c r="I22" i="16" s="1"/>
  <c r="E23" i="16"/>
  <c r="H23" i="16" s="1"/>
  <c r="I23" i="16" s="1"/>
  <c r="E24" i="16"/>
  <c r="H24" i="16" s="1"/>
  <c r="I24" i="16" s="1"/>
  <c r="E25" i="16"/>
  <c r="H25" i="16" s="1"/>
  <c r="I25" i="16" s="1"/>
  <c r="E26" i="16"/>
  <c r="H26" i="16" s="1"/>
  <c r="I26" i="16" s="1"/>
  <c r="E27" i="16"/>
  <c r="H27" i="16" s="1"/>
  <c r="I27" i="16" s="1"/>
  <c r="E28" i="16"/>
  <c r="H28" i="16" s="1"/>
  <c r="I28" i="16" s="1"/>
  <c r="E29" i="16"/>
  <c r="H29" i="16" s="1"/>
  <c r="I29" i="16" s="1"/>
  <c r="E30" i="16"/>
  <c r="H30" i="16" s="1"/>
  <c r="I30" i="16" s="1"/>
  <c r="E31" i="16"/>
  <c r="H31" i="16" s="1"/>
  <c r="I31" i="16" s="1"/>
  <c r="E32" i="16"/>
  <c r="H32" i="16" s="1"/>
  <c r="I32" i="16" s="1"/>
  <c r="E33" i="16"/>
  <c r="H33" i="16" s="1"/>
  <c r="I33" i="16" s="1"/>
  <c r="E34" i="16"/>
  <c r="H34" i="16" s="1"/>
  <c r="I34" i="16" s="1"/>
  <c r="E35" i="16"/>
  <c r="H35" i="16" s="1"/>
  <c r="I35" i="16" s="1"/>
  <c r="E36" i="16"/>
  <c r="H36" i="16" s="1"/>
  <c r="I36" i="16" s="1"/>
  <c r="E37" i="16"/>
  <c r="H37" i="16" s="1"/>
  <c r="I37" i="16" s="1"/>
  <c r="E38" i="16"/>
  <c r="H38" i="16" s="1"/>
  <c r="I38" i="16" s="1"/>
  <c r="E39" i="16"/>
  <c r="H39" i="16" s="1"/>
  <c r="I39" i="16" s="1"/>
  <c r="E40" i="16"/>
  <c r="H40" i="16" s="1"/>
  <c r="I40" i="16" s="1"/>
  <c r="E41" i="16"/>
  <c r="H41" i="16" s="1"/>
  <c r="I41" i="16" s="1"/>
  <c r="E42" i="16"/>
  <c r="H42" i="16" s="1"/>
  <c r="I42" i="16" s="1"/>
  <c r="E43" i="16"/>
  <c r="H43" i="16" s="1"/>
  <c r="I43" i="16" s="1"/>
  <c r="E44" i="16"/>
  <c r="H44" i="16" s="1"/>
  <c r="I44" i="16" s="1"/>
  <c r="E45" i="16"/>
  <c r="H45" i="16" s="1"/>
  <c r="I45" i="16" s="1"/>
  <c r="E46" i="16"/>
  <c r="H46" i="16" s="1"/>
  <c r="I46" i="16" s="1"/>
  <c r="E47" i="16"/>
  <c r="H47" i="16" s="1"/>
  <c r="I47" i="16" s="1"/>
  <c r="E48" i="16"/>
  <c r="H48" i="16" s="1"/>
  <c r="I48" i="16" s="1"/>
  <c r="E49" i="16"/>
  <c r="H49" i="16" s="1"/>
  <c r="I49" i="16" s="1"/>
  <c r="E50" i="16"/>
  <c r="H50" i="16" s="1"/>
  <c r="I50" i="16" s="1"/>
  <c r="E51" i="16"/>
  <c r="H51" i="16" s="1"/>
  <c r="I51" i="16" s="1"/>
  <c r="E52" i="16"/>
  <c r="H52" i="16" s="1"/>
  <c r="I52" i="16" s="1"/>
  <c r="E53" i="16"/>
  <c r="H53" i="16" s="1"/>
  <c r="I53" i="16" s="1"/>
  <c r="E54" i="16"/>
  <c r="H54" i="16" s="1"/>
  <c r="I54" i="16" s="1"/>
  <c r="E55" i="16"/>
  <c r="H55" i="16" s="1"/>
  <c r="I55" i="16" s="1"/>
  <c r="E56" i="16"/>
  <c r="H56" i="16" s="1"/>
  <c r="I56" i="16" s="1"/>
  <c r="E57" i="16"/>
  <c r="H57" i="16" s="1"/>
  <c r="I57" i="16" s="1"/>
  <c r="E58" i="16"/>
  <c r="H58" i="16" s="1"/>
  <c r="I58" i="16" s="1"/>
  <c r="E59" i="16"/>
  <c r="H59" i="16" s="1"/>
  <c r="I59" i="16" s="1"/>
  <c r="E60" i="16"/>
  <c r="H60" i="16" s="1"/>
  <c r="I60" i="16" s="1"/>
  <c r="E61" i="16"/>
  <c r="H61" i="16" s="1"/>
  <c r="I61" i="16" s="1"/>
  <c r="E62" i="16"/>
  <c r="H62" i="16" s="1"/>
  <c r="I62" i="16" s="1"/>
  <c r="E63" i="16"/>
  <c r="H63" i="16" s="1"/>
  <c r="I63" i="16" s="1"/>
  <c r="E64" i="16"/>
  <c r="H64" i="16" s="1"/>
  <c r="I64" i="16" s="1"/>
  <c r="E65" i="16"/>
  <c r="H65" i="16" s="1"/>
  <c r="I65" i="16" s="1"/>
  <c r="E66" i="16"/>
  <c r="H66" i="16" s="1"/>
  <c r="I66" i="16" s="1"/>
  <c r="E67" i="16"/>
  <c r="H67" i="16" s="1"/>
  <c r="I67" i="16" s="1"/>
  <c r="E68" i="16"/>
  <c r="H68" i="16" s="1"/>
  <c r="I68" i="16" s="1"/>
  <c r="E69" i="16"/>
  <c r="H69" i="16" s="1"/>
  <c r="I69" i="16" s="1"/>
  <c r="E70" i="16"/>
  <c r="H70" i="16" s="1"/>
  <c r="I70" i="16" s="1"/>
  <c r="E71" i="16"/>
  <c r="H71" i="16" s="1"/>
  <c r="I71" i="16" s="1"/>
  <c r="E72" i="16"/>
  <c r="H72" i="16" s="1"/>
  <c r="I72" i="16" s="1"/>
  <c r="E73" i="16"/>
  <c r="H73" i="16" s="1"/>
  <c r="I73" i="16" s="1"/>
  <c r="E74" i="16"/>
  <c r="H74" i="16" s="1"/>
  <c r="I74" i="16" s="1"/>
  <c r="E75" i="16"/>
  <c r="H75" i="16" s="1"/>
  <c r="I75" i="16" s="1"/>
  <c r="E76" i="16"/>
  <c r="H76" i="16" s="1"/>
  <c r="I76" i="16" s="1"/>
  <c r="E77" i="16"/>
  <c r="H77" i="16" s="1"/>
  <c r="I77" i="16" s="1"/>
  <c r="E78" i="16"/>
  <c r="H78" i="16" s="1"/>
  <c r="I78" i="16" s="1"/>
  <c r="E79" i="16"/>
  <c r="H79" i="16" s="1"/>
  <c r="I79" i="16" s="1"/>
  <c r="E80" i="16"/>
  <c r="H80" i="16" s="1"/>
  <c r="I80" i="16" s="1"/>
  <c r="E81" i="16"/>
  <c r="H81" i="16" s="1"/>
  <c r="I81" i="16" s="1"/>
  <c r="E82" i="16"/>
  <c r="H82" i="16" s="1"/>
  <c r="I82" i="16" s="1"/>
  <c r="E83" i="16"/>
  <c r="H83" i="16" s="1"/>
  <c r="I83" i="16" s="1"/>
  <c r="E84" i="16"/>
  <c r="H84" i="16" s="1"/>
  <c r="I84" i="16" s="1"/>
  <c r="E85" i="16"/>
  <c r="H85" i="16" s="1"/>
  <c r="I85" i="16" s="1"/>
  <c r="E86" i="16"/>
  <c r="H86" i="16" s="1"/>
  <c r="I86" i="16" s="1"/>
  <c r="J5" i="16" a="1"/>
  <c r="J5" i="16" s="1"/>
  <c r="J6" i="16" a="1"/>
  <c r="J6" i="16" s="1"/>
  <c r="J7" i="16" a="1"/>
  <c r="J7" i="16" s="1"/>
  <c r="J8" i="16" a="1"/>
  <c r="J8" i="16" s="1"/>
  <c r="J9" i="16" a="1"/>
  <c r="J9" i="16" s="1"/>
  <c r="J10" i="16" a="1"/>
  <c r="J10" i="16" s="1"/>
  <c r="J11" i="16" a="1"/>
  <c r="J11" i="16" s="1"/>
  <c r="J12" i="16" a="1"/>
  <c r="J12" i="16" s="1"/>
  <c r="J13" i="16" a="1"/>
  <c r="J13" i="16" s="1"/>
  <c r="J14" i="16" a="1"/>
  <c r="J14" i="16" s="1"/>
  <c r="J15" i="16" a="1"/>
  <c r="J15" i="16" s="1"/>
  <c r="J16" i="16" a="1"/>
  <c r="J16" i="16" s="1"/>
  <c r="J17" i="16" a="1"/>
  <c r="J17" i="16" s="1"/>
  <c r="J18" i="16" a="1"/>
  <c r="J18" i="16" s="1"/>
  <c r="J19" i="16" a="1"/>
  <c r="J19" i="16" s="1"/>
  <c r="J20" i="16" a="1"/>
  <c r="J20" i="16" s="1"/>
  <c r="J21" i="16" a="1"/>
  <c r="J21" i="16" s="1"/>
  <c r="J22" i="16" a="1"/>
  <c r="J22" i="16" s="1"/>
  <c r="J23" i="16" a="1"/>
  <c r="J23" i="16" s="1"/>
  <c r="J24" i="16" a="1"/>
  <c r="J24" i="16" s="1"/>
  <c r="J25" i="16" a="1"/>
  <c r="J25" i="16" s="1"/>
  <c r="J26" i="16" a="1"/>
  <c r="J26" i="16" s="1"/>
  <c r="J27" i="16" a="1"/>
  <c r="J27" i="16" s="1"/>
  <c r="J28" i="16" a="1"/>
  <c r="J28" i="16" s="1"/>
  <c r="J29" i="16" a="1"/>
  <c r="J29" i="16" s="1"/>
  <c r="J30" i="16" a="1"/>
  <c r="J30" i="16" s="1"/>
  <c r="J31" i="16" a="1"/>
  <c r="J31" i="16" s="1"/>
  <c r="J32" i="16" a="1"/>
  <c r="J32" i="16" s="1"/>
  <c r="J33" i="16" a="1"/>
  <c r="J33" i="16" s="1"/>
  <c r="J34" i="16" a="1"/>
  <c r="J34" i="16" s="1"/>
  <c r="J35" i="16" a="1"/>
  <c r="J35" i="16" s="1"/>
  <c r="J36" i="16" a="1"/>
  <c r="J36" i="16" s="1"/>
  <c r="J37" i="16" a="1"/>
  <c r="J37" i="16" s="1"/>
  <c r="J38" i="16" a="1"/>
  <c r="J38" i="16" s="1"/>
  <c r="J39" i="16" a="1"/>
  <c r="J39" i="16" s="1"/>
  <c r="J40" i="16" a="1"/>
  <c r="J40" i="16" s="1"/>
  <c r="J41" i="16" a="1"/>
  <c r="J41" i="16" s="1"/>
  <c r="J42" i="16" a="1"/>
  <c r="J42" i="16" s="1"/>
  <c r="J43" i="16" a="1"/>
  <c r="J43" i="16" s="1"/>
  <c r="J44" i="16" a="1"/>
  <c r="J44" i="16" s="1"/>
  <c r="J45" i="16" a="1"/>
  <c r="J45" i="16" s="1"/>
  <c r="J46" i="16" a="1"/>
  <c r="J46" i="16" s="1"/>
  <c r="J47" i="16" a="1"/>
  <c r="J47" i="16" s="1"/>
  <c r="J48" i="16" a="1"/>
  <c r="J48" i="16" s="1"/>
  <c r="J49" i="16" a="1"/>
  <c r="J49" i="16" s="1"/>
  <c r="J50" i="16" a="1"/>
  <c r="J50" i="16" s="1"/>
  <c r="J51" i="16" a="1"/>
  <c r="J51" i="16" s="1"/>
  <c r="J52" i="16" a="1"/>
  <c r="J52" i="16" s="1"/>
  <c r="J53" i="16" a="1"/>
  <c r="J53" i="16" s="1"/>
  <c r="J54" i="16" a="1"/>
  <c r="J54" i="16" s="1"/>
  <c r="J55" i="16" a="1"/>
  <c r="J55" i="16" s="1"/>
  <c r="J56" i="16" a="1"/>
  <c r="J56" i="16" s="1"/>
  <c r="J57" i="16" a="1"/>
  <c r="J57" i="16" s="1"/>
  <c r="J58" i="16" a="1"/>
  <c r="J58" i="16" s="1"/>
  <c r="J59" i="16" a="1"/>
  <c r="J59" i="16" s="1"/>
  <c r="J60" i="16" a="1"/>
  <c r="J60" i="16" s="1"/>
  <c r="J61" i="16" a="1"/>
  <c r="J61" i="16" s="1"/>
  <c r="J62" i="16" a="1"/>
  <c r="J62" i="16" s="1"/>
  <c r="J63" i="16" a="1"/>
  <c r="J63" i="16" s="1"/>
  <c r="J64" i="16" a="1"/>
  <c r="J64" i="16" s="1"/>
  <c r="J65" i="16" a="1"/>
  <c r="J65" i="16" s="1"/>
  <c r="J66" i="16" a="1"/>
  <c r="J66" i="16" s="1"/>
  <c r="J67" i="16" a="1"/>
  <c r="J67" i="16" s="1"/>
  <c r="J68" i="16" a="1"/>
  <c r="J68" i="16" s="1"/>
  <c r="J69" i="16" a="1"/>
  <c r="J69" i="16" s="1"/>
  <c r="J70" i="16" a="1"/>
  <c r="J70" i="16" s="1"/>
  <c r="J71" i="16" a="1"/>
  <c r="J71" i="16" s="1"/>
  <c r="J72" i="16" a="1"/>
  <c r="J72" i="16" s="1"/>
  <c r="J73" i="16" a="1"/>
  <c r="J73" i="16" s="1"/>
  <c r="J74" i="16" a="1"/>
  <c r="J74" i="16" s="1"/>
  <c r="J75" i="16" a="1"/>
  <c r="J75" i="16" s="1"/>
  <c r="J76" i="16" a="1"/>
  <c r="J76" i="16" s="1"/>
  <c r="J77" i="16" a="1"/>
  <c r="J77" i="16" s="1"/>
  <c r="J78" i="16" a="1"/>
  <c r="J78" i="16" s="1"/>
  <c r="J79" i="16" a="1"/>
  <c r="J79" i="16" s="1"/>
  <c r="J80" i="16" a="1"/>
  <c r="J80" i="16" s="1"/>
  <c r="J81" i="16" a="1"/>
  <c r="J81" i="16" s="1"/>
  <c r="J82" i="16" a="1"/>
  <c r="J82" i="16" s="1"/>
  <c r="J83" i="16" a="1"/>
  <c r="J83" i="16" s="1"/>
  <c r="J84" i="16" a="1"/>
  <c r="J84" i="16" s="1"/>
  <c r="J85" i="16" a="1"/>
  <c r="J85" i="16" s="1"/>
  <c r="J86" i="16" a="1"/>
  <c r="J86" i="16" s="1"/>
  <c r="K5" i="16"/>
  <c r="K6" i="16"/>
  <c r="K7" i="16"/>
  <c r="K8" i="16"/>
  <c r="K9" i="16"/>
  <c r="K10" i="16"/>
  <c r="K11" i="16"/>
  <c r="K12" i="16"/>
  <c r="K13" i="16"/>
  <c r="K14" i="16"/>
  <c r="K15" i="16"/>
  <c r="K16" i="16"/>
  <c r="K17" i="16"/>
  <c r="K18" i="16"/>
  <c r="K19" i="16"/>
  <c r="K20" i="16"/>
  <c r="K21" i="16"/>
  <c r="K22" i="16"/>
  <c r="K23" i="16"/>
  <c r="K24" i="16"/>
  <c r="K25" i="16"/>
  <c r="K26" i="16"/>
  <c r="K27" i="16"/>
  <c r="K28" i="16"/>
  <c r="K29" i="16"/>
  <c r="K30" i="16"/>
  <c r="K31" i="16"/>
  <c r="K32" i="16"/>
  <c r="K33" i="16"/>
  <c r="K34" i="16"/>
  <c r="K35" i="16"/>
  <c r="K36" i="16"/>
  <c r="K37" i="16"/>
  <c r="K38" i="16"/>
  <c r="K39" i="16"/>
  <c r="K40" i="16"/>
  <c r="K41" i="16"/>
  <c r="K42" i="16"/>
  <c r="K43" i="16"/>
  <c r="K44" i="16"/>
  <c r="K45" i="16"/>
  <c r="K46" i="16"/>
  <c r="K47" i="16"/>
  <c r="K48" i="16"/>
  <c r="K49" i="16"/>
  <c r="K50" i="16"/>
  <c r="K51" i="16"/>
  <c r="K52" i="16"/>
  <c r="K53" i="16"/>
  <c r="K54" i="16"/>
  <c r="K55" i="16"/>
  <c r="K56" i="16"/>
  <c r="K57" i="16"/>
  <c r="K58" i="16"/>
  <c r="K59" i="16"/>
  <c r="K60" i="16"/>
  <c r="K61" i="16"/>
  <c r="K62" i="16"/>
  <c r="K63" i="16"/>
  <c r="K64" i="16"/>
  <c r="K65" i="16"/>
  <c r="K66" i="16"/>
  <c r="K67" i="16"/>
  <c r="K68" i="16"/>
  <c r="K69" i="16"/>
  <c r="K70" i="16"/>
  <c r="K71" i="16"/>
  <c r="K72" i="16"/>
  <c r="K73" i="16"/>
  <c r="K74" i="16"/>
  <c r="K75" i="16"/>
  <c r="K76" i="16"/>
  <c r="K77" i="16"/>
  <c r="K78" i="16"/>
  <c r="K79" i="16"/>
  <c r="K80" i="16"/>
  <c r="K81" i="16"/>
  <c r="K82" i="16"/>
  <c r="K83" i="16"/>
  <c r="K84" i="16"/>
  <c r="K85" i="16"/>
  <c r="K86" i="16"/>
  <c r="C11" i="24" a="1"/>
  <c r="C11" i="24" s="1"/>
  <c r="F7" i="24"/>
  <c r="C8" i="24" a="1"/>
  <c r="C8" i="24" s="1"/>
  <c r="C7" i="24"/>
  <c r="F9" i="24"/>
  <c r="G4" i="48"/>
  <c r="G5" i="48"/>
  <c r="G6" i="48"/>
  <c r="AQ4" i="18"/>
  <c r="BK4" i="18"/>
  <c r="C12" i="24" l="1" a="1"/>
  <c r="C12" i="24" s="1"/>
  <c r="L51" i="16"/>
  <c r="L39" i="16"/>
  <c r="L27" i="16"/>
  <c r="L15" i="16"/>
  <c r="L50" i="16"/>
  <c r="L38" i="16"/>
  <c r="L26" i="16"/>
  <c r="L14" i="16"/>
  <c r="L76" i="16"/>
  <c r="L64" i="16"/>
  <c r="L52" i="16"/>
  <c r="L40" i="16"/>
  <c r="L28" i="16"/>
  <c r="L16" i="16"/>
  <c r="L85" i="16"/>
  <c r="L73" i="16"/>
  <c r="L61" i="16"/>
  <c r="L49" i="16"/>
  <c r="L37" i="16"/>
  <c r="L25" i="16"/>
  <c r="L13" i="16"/>
  <c r="L86" i="16"/>
  <c r="L84" i="16"/>
  <c r="L72" i="16"/>
  <c r="L60" i="16"/>
  <c r="L48" i="16"/>
  <c r="L36" i="16"/>
  <c r="L24" i="16"/>
  <c r="L12" i="16"/>
  <c r="L83" i="16"/>
  <c r="L71" i="16"/>
  <c r="L59" i="16"/>
  <c r="L47" i="16"/>
  <c r="L35" i="16"/>
  <c r="L23" i="16"/>
  <c r="L11" i="16"/>
  <c r="L82" i="16"/>
  <c r="L70" i="16"/>
  <c r="L58" i="16"/>
  <c r="L46" i="16"/>
  <c r="L34" i="16"/>
  <c r="L22" i="16"/>
  <c r="L10" i="16"/>
  <c r="L81" i="16"/>
  <c r="L69" i="16"/>
  <c r="L57" i="16"/>
  <c r="L45" i="16"/>
  <c r="L33" i="16"/>
  <c r="L21" i="16"/>
  <c r="L9" i="16"/>
  <c r="L63" i="16"/>
  <c r="L80" i="16"/>
  <c r="L68" i="16"/>
  <c r="L56" i="16"/>
  <c r="L44" i="16"/>
  <c r="L32" i="16"/>
  <c r="L20" i="16"/>
  <c r="L8" i="16"/>
  <c r="L62" i="16"/>
  <c r="L79" i="16"/>
  <c r="L67" i="16"/>
  <c r="L55" i="16"/>
  <c r="L43" i="16"/>
  <c r="L31" i="16"/>
  <c r="L19" i="16"/>
  <c r="L7" i="16"/>
  <c r="L78" i="16"/>
  <c r="L66" i="16"/>
  <c r="L54" i="16"/>
  <c r="L42" i="16"/>
  <c r="L30" i="16"/>
  <c r="L18" i="16"/>
  <c r="L6" i="16"/>
  <c r="L75" i="16"/>
  <c r="L74" i="16"/>
  <c r="L77" i="16"/>
  <c r="L65" i="16"/>
  <c r="L53" i="16"/>
  <c r="L41" i="16"/>
  <c r="L29" i="16"/>
  <c r="L17" i="16"/>
  <c r="L5" i="16"/>
  <c r="M68" i="16"/>
  <c r="M76" i="16"/>
  <c r="A76" i="16"/>
  <c r="B76" i="16" s="1"/>
  <c r="A77" i="16"/>
  <c r="B77" i="16" s="1"/>
  <c r="A78" i="16"/>
  <c r="B78" i="16" s="1"/>
  <c r="A79" i="16"/>
  <c r="B79" i="16" s="1"/>
  <c r="A80" i="16"/>
  <c r="B80" i="16" s="1"/>
  <c r="A81" i="16"/>
  <c r="B81" i="16" s="1"/>
  <c r="A82" i="16"/>
  <c r="B82" i="16" s="1"/>
  <c r="A83" i="16"/>
  <c r="B83" i="16" s="1"/>
  <c r="A84" i="16"/>
  <c r="B84" i="16" s="1"/>
  <c r="A85" i="16"/>
  <c r="B85" i="16" s="1"/>
  <c r="A86" i="16"/>
  <c r="B86" i="16" s="1"/>
  <c r="A65" i="16"/>
  <c r="B65" i="16" s="1"/>
  <c r="A66" i="16"/>
  <c r="B66" i="16" s="1"/>
  <c r="A67" i="16"/>
  <c r="B67" i="16" s="1"/>
  <c r="A68" i="16"/>
  <c r="B68" i="16" s="1"/>
  <c r="A69" i="16"/>
  <c r="B69" i="16" s="1"/>
  <c r="A70" i="16"/>
  <c r="B70" i="16" s="1"/>
  <c r="A71" i="16"/>
  <c r="B71" i="16" s="1"/>
  <c r="A72" i="16"/>
  <c r="B72" i="16" s="1"/>
  <c r="A73" i="16"/>
  <c r="B73" i="16" s="1"/>
  <c r="A74" i="16"/>
  <c r="B74" i="16" s="1"/>
  <c r="A75" i="16"/>
  <c r="B75" i="16" s="1"/>
  <c r="A64" i="16"/>
  <c r="B64" i="16" s="1"/>
  <c r="A5" i="16"/>
  <c r="B5" i="16" s="1"/>
  <c r="H6" i="48"/>
  <c r="H5" i="48"/>
  <c r="H4" i="48"/>
  <c r="M83" i="16" l="1"/>
  <c r="M75" i="16"/>
  <c r="M73" i="16"/>
  <c r="M65" i="16"/>
  <c r="M64" i="16"/>
  <c r="M79" i="16"/>
  <c r="M71" i="16"/>
  <c r="M80" i="16"/>
  <c r="M72" i="16"/>
  <c r="M84" i="16"/>
  <c r="M67" i="16"/>
  <c r="M82" i="16"/>
  <c r="M74" i="16"/>
  <c r="M66" i="16"/>
  <c r="M86" i="16"/>
  <c r="M78" i="16"/>
  <c r="M70" i="16"/>
  <c r="M85" i="16"/>
  <c r="M77" i="16"/>
  <c r="M69" i="16"/>
  <c r="M81" i="16"/>
  <c r="M5" i="16" l="1"/>
  <c r="M6" i="16"/>
  <c r="M7" i="16"/>
  <c r="M8" i="16"/>
  <c r="M9" i="16"/>
  <c r="M10" i="16"/>
  <c r="M11" i="16"/>
  <c r="F8" i="24" s="1"/>
  <c r="M12" i="16"/>
  <c r="M13" i="16"/>
  <c r="M14" i="16"/>
  <c r="M15" i="16"/>
  <c r="M16" i="16"/>
  <c r="M17" i="16"/>
  <c r="M18" i="16"/>
  <c r="M19" i="16"/>
  <c r="M20" i="16"/>
  <c r="M21" i="16"/>
  <c r="M22" i="16"/>
  <c r="M23" i="16"/>
  <c r="M24" i="16"/>
  <c r="M25" i="16"/>
  <c r="M26" i="16"/>
  <c r="M27" i="16"/>
  <c r="M28" i="16"/>
  <c r="M29" i="16"/>
  <c r="M30" i="16"/>
  <c r="M31" i="16"/>
  <c r="M32" i="16"/>
  <c r="M33" i="16"/>
  <c r="M34" i="16"/>
  <c r="M35" i="16"/>
  <c r="M36" i="16"/>
  <c r="M37" i="16"/>
  <c r="M38" i="16"/>
  <c r="M39" i="16"/>
  <c r="M40" i="16"/>
  <c r="M41" i="16"/>
  <c r="M42" i="16"/>
  <c r="M43" i="16"/>
  <c r="M44" i="16"/>
  <c r="M45" i="16"/>
  <c r="M46" i="16"/>
  <c r="M47" i="16"/>
  <c r="M48" i="16"/>
  <c r="M49" i="16"/>
  <c r="M50" i="16"/>
  <c r="M51" i="16"/>
  <c r="M52" i="16"/>
  <c r="M53" i="16"/>
  <c r="M54" i="16"/>
  <c r="M55" i="16"/>
  <c r="M56" i="16"/>
  <c r="M57" i="16"/>
  <c r="M58" i="16"/>
  <c r="M59" i="16"/>
  <c r="M60" i="16"/>
  <c r="M61" i="16"/>
  <c r="M62" i="16"/>
  <c r="M63" i="16"/>
  <c r="A23" i="16" l="1"/>
  <c r="B23" i="16" s="1"/>
  <c r="A24" i="16"/>
  <c r="B24" i="16" s="1"/>
  <c r="A25" i="16"/>
  <c r="B25" i="16" s="1"/>
  <c r="A26" i="16"/>
  <c r="B26" i="16" s="1"/>
  <c r="A27" i="16"/>
  <c r="B27" i="16" s="1"/>
  <c r="A28" i="16"/>
  <c r="B28" i="16" s="1"/>
  <c r="A29" i="16"/>
  <c r="B29" i="16" s="1"/>
  <c r="A30" i="16"/>
  <c r="B30" i="16" s="1"/>
  <c r="A31" i="16"/>
  <c r="B31" i="16" s="1"/>
  <c r="A32" i="16"/>
  <c r="B32" i="16" s="1"/>
  <c r="A33" i="16"/>
  <c r="B33" i="16" s="1"/>
  <c r="A34" i="16"/>
  <c r="B34" i="16" s="1"/>
  <c r="A35" i="16"/>
  <c r="B35" i="16" s="1"/>
  <c r="A36" i="16"/>
  <c r="B36" i="16" s="1"/>
  <c r="A37" i="16"/>
  <c r="B37" i="16" s="1"/>
  <c r="A38" i="16"/>
  <c r="B38" i="16" s="1"/>
  <c r="A39" i="16"/>
  <c r="B39" i="16" s="1"/>
  <c r="A40" i="16"/>
  <c r="B40" i="16" s="1"/>
  <c r="A41" i="16"/>
  <c r="B41" i="16" s="1"/>
  <c r="A42" i="16"/>
  <c r="B42" i="16" s="1"/>
  <c r="A43" i="16"/>
  <c r="B43" i="16" s="1"/>
  <c r="A44" i="16"/>
  <c r="B44" i="16" s="1"/>
  <c r="A45" i="16"/>
  <c r="B45" i="16" s="1"/>
  <c r="A46" i="16"/>
  <c r="B46" i="16" s="1"/>
  <c r="A47" i="16"/>
  <c r="B47" i="16" s="1"/>
  <c r="A48" i="16"/>
  <c r="B48" i="16" s="1"/>
  <c r="A49" i="16"/>
  <c r="B49" i="16" s="1"/>
  <c r="A50" i="16"/>
  <c r="B50" i="16" s="1"/>
  <c r="A51" i="16"/>
  <c r="B51" i="16" s="1"/>
  <c r="A52" i="16"/>
  <c r="B52" i="16" s="1"/>
  <c r="A53" i="16"/>
  <c r="B53" i="16" s="1"/>
  <c r="A54" i="16"/>
  <c r="B54" i="16" s="1"/>
  <c r="A55" i="16"/>
  <c r="B55" i="16" s="1"/>
  <c r="A56" i="16"/>
  <c r="B56" i="16" s="1"/>
  <c r="A57" i="16"/>
  <c r="B57" i="16" s="1"/>
  <c r="A58" i="16"/>
  <c r="B58" i="16" s="1"/>
  <c r="A59" i="16"/>
  <c r="B59" i="16" s="1"/>
  <c r="A60" i="16"/>
  <c r="B60" i="16" s="1"/>
  <c r="A61" i="16"/>
  <c r="B61" i="16" s="1"/>
  <c r="A62" i="16"/>
  <c r="B62" i="16" s="1"/>
  <c r="A63" i="16"/>
  <c r="B63" i="16" s="1"/>
  <c r="A6" i="16"/>
  <c r="B6" i="16" s="1"/>
  <c r="A7" i="16"/>
  <c r="B7" i="16" s="1"/>
  <c r="A8" i="16"/>
  <c r="B8" i="16" s="1"/>
  <c r="A9" i="16"/>
  <c r="B9" i="16" s="1"/>
  <c r="A10" i="16"/>
  <c r="B10" i="16" s="1"/>
  <c r="A11" i="16"/>
  <c r="B11" i="16" s="1"/>
  <c r="A12" i="16"/>
  <c r="B12" i="16" s="1"/>
  <c r="A13" i="16"/>
  <c r="B13" i="16" s="1"/>
  <c r="A14" i="16"/>
  <c r="B14" i="16" s="1"/>
  <c r="A15" i="16"/>
  <c r="B15" i="16" s="1"/>
  <c r="A16" i="16"/>
  <c r="B16" i="16" s="1"/>
  <c r="A17" i="16"/>
  <c r="B17" i="16" s="1"/>
  <c r="A18" i="16"/>
  <c r="B18" i="16" s="1"/>
  <c r="A19" i="16"/>
  <c r="B19" i="16" s="1"/>
  <c r="A20" i="16"/>
  <c r="B20" i="16" s="1"/>
  <c r="A21" i="16"/>
  <c r="B21" i="16" s="1"/>
  <c r="A22" i="16"/>
  <c r="B22" i="16" s="1"/>
</calcChain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B174E71D-31EE-472C-B33B-A0F7FDBBED20}" keepAlive="1" name="Consulta - Vendas" description="Conexão com a consulta 'Vendas' na pasta de trabalho." type="5" refreshedVersion="8" background="1" saveData="1">
    <dbPr connection="Provider=Microsoft.Mashup.OleDb.1;Data Source=$Workbook$;Location=Vendas;Extended Properties=&quot;&quot;" command="SELECT * FROM [Vendas]"/>
  </connection>
  <connection id="2" xr16:uid="{AA02B45C-215A-4E05-9CAC-3D3622F26B9C}" keepAlive="1" name="Consulta - Vendas (2)" description="Conexão com a consulta 'Vendas (2)' na pasta de trabalho." type="5" refreshedVersion="8" background="1" saveData="1">
    <dbPr connection="Provider=Microsoft.Mashup.OleDb.1;Data Source=$Workbook$;Location=&quot;Vendas (2)&quot;;Extended Properties=&quot;&quot;" command="SELECT * FROM [Vendas (2)]"/>
  </connection>
  <connection id="3" xr16:uid="{E5C8936D-6726-48D9-AEEF-A8C54F6E8194}" keepAlive="1" name="ModelConnection_DadosExternos_1" description="Modelo de Dados" type="5" refreshedVersion="8" minRefreshableVersion="5" saveData="1">
    <dbPr connection="Data Model Connection" command="DRILLTHROUGH MAXROWS 1000 SELECT FROM [Model] WHERE (([Measures].[%Categoria],[TB_Vendas].[Categoria].&amp;[Acessórios])) RETURN [$TB_Vendas].[Nº],[$TB_Vendas].[Mês],[$TB_Vendas].[Data],[$TB_Vendas].[Código],[$TB_Vendas].[Categoria],[$TB_Vendas].[Qtd],[$TB_Vendas].[Preço Unitário],[$TB_Vendas].[Indice],[$TB_Vendas].[Desconto  (Passo a Passo)],[$TB_Vendas].[Desconto  (Diretão)],[$TB_Vendas].[Desconto  (Vendedor)],[$TB_Vendas].[Desconto Final],[$TB_Vendas].[Total],[$TB_Vendas].[Vendedor]" commandType="4"/>
    <extLst>
      <ext xmlns:x15="http://schemas.microsoft.com/office/spreadsheetml/2010/11/main" uri="{DE250136-89BD-433C-8126-D09CA5730AF9}">
        <x15:connection id="" model="1"/>
      </ext>
    </extLst>
  </connection>
  <connection id="4" xr16:uid="{BBFFF337-09CD-4436-A50A-8F42F09EC6A0}" keepAlive="1" name="ThisWorkbookDataModel" description="Modelo de Dados" type="5" refreshedVersion="8" minRefreshableVersion="5" background="1">
    <dbPr connection="Data Model Connection" command="Model" commandType="1"/>
    <olapPr sendLocale="1" rowDrillCount="1000"/>
    <extLst>
      <ext xmlns:x15="http://schemas.microsoft.com/office/spreadsheetml/2010/11/main" uri="{DE250136-89BD-433C-8126-D09CA5730AF9}">
        <x15:connection id="" model="1"/>
      </ext>
    </extLst>
  </connection>
  <connection id="5" xr16:uid="{8617B61A-A961-4F34-AC3C-C135775D5AB6}" name="WorksheetConnection_Meteora Ecommerce - grafico dinamico.xlsx!Vendas__2" type="102" refreshedVersion="8" minRefreshableVersion="5">
    <extLst>
      <ext xmlns:x15="http://schemas.microsoft.com/office/spreadsheetml/2010/11/main" uri="{DE250136-89BD-433C-8126-D09CA5730AF9}">
        <x15:connection id="Vendas__2" autoDelete="1">
          <x15:rangePr sourceName="_xlcn.WorksheetConnection_MeteoraEcommercegraficodinamico.xlsxVendas__21"/>
        </x15:connection>
      </ext>
    </extLst>
  </connection>
  <connection id="6" xr16:uid="{1DF8DDAA-0DB8-409C-8D37-0EEA7E195179}" name="WorksheetConnection_Meteora Ecommerce.xlsx!TB_Produtos" type="102" refreshedVersion="8" minRefreshableVersion="5">
    <extLst>
      <ext xmlns:x15="http://schemas.microsoft.com/office/spreadsheetml/2010/11/main" uri="{DE250136-89BD-433C-8126-D09CA5730AF9}">
        <x15:connection id="TB_Produtos" autoDelete="1">
          <x15:rangePr sourceName="_xlcn.WorksheetConnection_MeteoraEcommerce.xlsxTB_Produtos1"/>
        </x15:connection>
      </ext>
    </extLst>
  </connection>
  <connection id="7" xr16:uid="{C7E13675-7B1F-44E3-8864-3EB9FC65D6F9}" name="WorksheetConnection_Meteora Ecommerce.xlsx!TB_Vendas" type="102" refreshedVersion="8" minRefreshableVersion="5">
    <extLst>
      <ext xmlns:x15="http://schemas.microsoft.com/office/spreadsheetml/2010/11/main" uri="{DE250136-89BD-433C-8126-D09CA5730AF9}">
        <x15:connection id="TB_Vendas" autoDelete="1">
          <x15:rangePr sourceName="_xlcn.WorksheetConnection_MeteoraEcommerce.xlsxTB_Vendas1"/>
        </x15:connection>
      </ext>
    </extLst>
  </connection>
  <connection id="8" xr16:uid="{0CD1B636-63BC-473E-9F15-A5B62F11E8CE}" name="WorksheetConnection_Vendedores!$A$4:$D$9" type="102" refreshedVersion="8" minRefreshableVersion="5">
    <extLst>
      <ext xmlns:x15="http://schemas.microsoft.com/office/spreadsheetml/2010/11/main" uri="{DE250136-89BD-433C-8126-D09CA5730AF9}">
        <x15:connection id="Intervalo" autoDelete="1">
          <x15:rangePr sourceName="_xlcn.WorksheetConnection_VendedoresA4D91"/>
        </x15:connection>
      </ext>
    </extLst>
  </connection>
</connections>
</file>

<file path=xl/metadata.xml><?xml version="1.0" encoding="utf-8"?>
<metadata xmlns="http://schemas.openxmlformats.org/spreadsheetml/2006/main" xmlns:xda="http://schemas.microsoft.com/office/spreadsheetml/2017/dynamicarray">
  <metadataTypes count="2">
    <metadataType name="XLDAPR" minSupportedVersion="120000" copy="1" pasteAll="1" pasteValues="1" merge="1" splitFirst="1" rowColShift="1" clearFormats="1" clearComments="1" assign="1" coerce="1" cellMeta="1"/>
    <metadataType name="XLMDX" minSupportedVersion="120000" copy="1" pasteAll="1" pasteValues="1" merge="1" splitFirst="1" rowColShift="1" clearFormats="1" clearComments="1" assign="1" coerce="1"/>
  </metadataTypes>
  <metadataStrings count="3">
    <s v="ThisWorkbookDataModel"/>
    <s v="{[Intervalo].[Vendedor].[All]}"/>
    <s v="{[TB_Produtos].[Categoria].[All]}"/>
  </metadataStrings>
  <mdxMetadata count="2">
    <mdx n="0" f="s">
      <ms ns="1" c="0"/>
    </mdx>
    <mdx n="0" f="s">
      <ms ns="2" c="0"/>
    </mdx>
  </mdxMetadata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  <valueMetadata count="2">
    <bk>
      <rc t="2" v="0"/>
    </bk>
    <bk>
      <rc t="2" v="1"/>
    </bk>
  </valueMetadata>
</metadata>
</file>

<file path=xl/sharedStrings.xml><?xml version="1.0" encoding="utf-8"?>
<sst xmlns="http://schemas.openxmlformats.org/spreadsheetml/2006/main" count="1469" uniqueCount="207">
  <si>
    <t>Produtos</t>
  </si>
  <si>
    <t>Tamanho</t>
  </si>
  <si>
    <t>P</t>
  </si>
  <si>
    <t>M</t>
  </si>
  <si>
    <t>G</t>
  </si>
  <si>
    <t>Bermuda</t>
  </si>
  <si>
    <t>Boné</t>
  </si>
  <si>
    <t>Cinto</t>
  </si>
  <si>
    <t>Único</t>
  </si>
  <si>
    <t>Camiseta Lisa</t>
  </si>
  <si>
    <t>Categoria</t>
  </si>
  <si>
    <t>Preço Unitário</t>
  </si>
  <si>
    <t>Vestuário</t>
  </si>
  <si>
    <t>Acessórios</t>
  </si>
  <si>
    <t>Calçado</t>
  </si>
  <si>
    <t>Qtd</t>
  </si>
  <si>
    <t>Total</t>
  </si>
  <si>
    <t xml:space="preserve">Camiseta Lisa </t>
  </si>
  <si>
    <t>Camiseta Estampada</t>
  </si>
  <si>
    <t>Óculos redondo</t>
  </si>
  <si>
    <t>Óculos quadrado</t>
  </si>
  <si>
    <t>Jaqueta jeans</t>
  </si>
  <si>
    <t>Jaqueta couro</t>
  </si>
  <si>
    <t>Calça jeans</t>
  </si>
  <si>
    <t>Vestido longo</t>
  </si>
  <si>
    <t>Vestido curto</t>
  </si>
  <si>
    <t>Calça legging</t>
  </si>
  <si>
    <t>Tênis Atitas</t>
  </si>
  <si>
    <t>Bolsa de couro</t>
  </si>
  <si>
    <t>Bolsa coringa</t>
  </si>
  <si>
    <t>Código</t>
  </si>
  <si>
    <t>Mês</t>
  </si>
  <si>
    <t>PR001</t>
  </si>
  <si>
    <t>PR002</t>
  </si>
  <si>
    <t>PR003</t>
  </si>
  <si>
    <t>PR004</t>
  </si>
  <si>
    <t>PR005</t>
  </si>
  <si>
    <t>PR006</t>
  </si>
  <si>
    <t>PR007</t>
  </si>
  <si>
    <t>PR008</t>
  </si>
  <si>
    <t>PR009</t>
  </si>
  <si>
    <t>PR010</t>
  </si>
  <si>
    <t>PR011</t>
  </si>
  <si>
    <t>PR012</t>
  </si>
  <si>
    <t>PR013</t>
  </si>
  <si>
    <t>PR014</t>
  </si>
  <si>
    <t>PR015</t>
  </si>
  <si>
    <t>PR016</t>
  </si>
  <si>
    <t>PR017</t>
  </si>
  <si>
    <t>PR018</t>
  </si>
  <si>
    <t>PR019</t>
  </si>
  <si>
    <t>PR020</t>
  </si>
  <si>
    <t>PR021</t>
  </si>
  <si>
    <t>PR022</t>
  </si>
  <si>
    <t>PR023</t>
  </si>
  <si>
    <t>PR024</t>
  </si>
  <si>
    <t>PR025</t>
  </si>
  <si>
    <t>PR026</t>
  </si>
  <si>
    <t>PR027</t>
  </si>
  <si>
    <t>PR028</t>
  </si>
  <si>
    <t>PR029</t>
  </si>
  <si>
    <t>PR030</t>
  </si>
  <si>
    <t>PR031</t>
  </si>
  <si>
    <t>PR032</t>
  </si>
  <si>
    <t>PR033</t>
  </si>
  <si>
    <t>PR034</t>
  </si>
  <si>
    <t>PR035</t>
  </si>
  <si>
    <t>PR036</t>
  </si>
  <si>
    <t>PR037</t>
  </si>
  <si>
    <t>PR038</t>
  </si>
  <si>
    <t>PR039</t>
  </si>
  <si>
    <t>Clara</t>
  </si>
  <si>
    <t>João</t>
  </si>
  <si>
    <t>Vendedor</t>
  </si>
  <si>
    <t>Sarah</t>
  </si>
  <si>
    <t>Data</t>
  </si>
  <si>
    <t>Estoque</t>
  </si>
  <si>
    <t>Total de Produtos</t>
  </si>
  <si>
    <t>Produtos Vendidos</t>
  </si>
  <si>
    <t>Total de Vendas</t>
  </si>
  <si>
    <t>Vendas Mensais</t>
  </si>
  <si>
    <t>Vendas por Categoria</t>
  </si>
  <si>
    <t>Ranking Vendedores</t>
  </si>
  <si>
    <t>Vendedores</t>
  </si>
  <si>
    <t>PR040</t>
  </si>
  <si>
    <t>PR041</t>
  </si>
  <si>
    <t>PR042</t>
  </si>
  <si>
    <t>PR043</t>
  </si>
  <si>
    <t>Vestido Floral</t>
  </si>
  <si>
    <t>PR044</t>
  </si>
  <si>
    <t>PR045</t>
  </si>
  <si>
    <t>PR046</t>
  </si>
  <si>
    <t>Jaqueta de Couro</t>
  </si>
  <si>
    <t>PR047</t>
  </si>
  <si>
    <t>PR048</t>
  </si>
  <si>
    <t>PR049</t>
  </si>
  <si>
    <t>Camiseta Listrada</t>
  </si>
  <si>
    <t>PR050</t>
  </si>
  <si>
    <t>PR051</t>
  </si>
  <si>
    <t>PR052</t>
  </si>
  <si>
    <t>Saia Plissada</t>
  </si>
  <si>
    <t>PR053</t>
  </si>
  <si>
    <t>PR054</t>
  </si>
  <si>
    <t>PR055</t>
  </si>
  <si>
    <t>PR056</t>
  </si>
  <si>
    <t>Sandália Rasteira</t>
  </si>
  <si>
    <t>PR057</t>
  </si>
  <si>
    <t>PR058</t>
  </si>
  <si>
    <t>Camiseta Conforto</t>
  </si>
  <si>
    <t>Calça Alfaiataria</t>
  </si>
  <si>
    <t>PR059</t>
  </si>
  <si>
    <t>PR060</t>
  </si>
  <si>
    <t>Tênis Chunky</t>
  </si>
  <si>
    <t>Nº</t>
  </si>
  <si>
    <t>VD001</t>
  </si>
  <si>
    <t>VD002</t>
  </si>
  <si>
    <t>VD003</t>
  </si>
  <si>
    <t>VD004</t>
  </si>
  <si>
    <t>VD005</t>
  </si>
  <si>
    <t>Amanda</t>
  </si>
  <si>
    <t>Bruno</t>
  </si>
  <si>
    <t>Controle de Produtos</t>
  </si>
  <si>
    <t>Vendas</t>
  </si>
  <si>
    <t>Cadastros Gerais</t>
  </si>
  <si>
    <t>Dia da Semana</t>
  </si>
  <si>
    <t>Domingo</t>
  </si>
  <si>
    <t>Segunda-feira</t>
  </si>
  <si>
    <t>Terça-feira</t>
  </si>
  <si>
    <t>Quarta-feira</t>
  </si>
  <si>
    <t>Quinta-feira</t>
  </si>
  <si>
    <t>Sexta-feira</t>
  </si>
  <si>
    <t>Sábado</t>
  </si>
  <si>
    <t>Consultas</t>
  </si>
  <si>
    <t>Cidade</t>
  </si>
  <si>
    <t>Desc. Máximo</t>
  </si>
  <si>
    <t>São Paulo</t>
  </si>
  <si>
    <t>Rio de Janeiro</t>
  </si>
  <si>
    <t>Natal</t>
  </si>
  <si>
    <t>Manaus</t>
  </si>
  <si>
    <t>Belo Horizonte</t>
  </si>
  <si>
    <t>Desconto por Categoria e Qtd</t>
  </si>
  <si>
    <t>Consulta Produto</t>
  </si>
  <si>
    <t xml:space="preserve">Código: </t>
  </si>
  <si>
    <t xml:space="preserve">Descrição: </t>
  </si>
  <si>
    <t xml:space="preserve">Tamanho: </t>
  </si>
  <si>
    <t xml:space="preserve">Categoria: </t>
  </si>
  <si>
    <t xml:space="preserve">Estoque: </t>
  </si>
  <si>
    <t xml:space="preserve">Data: </t>
  </si>
  <si>
    <t>Vendas do Dia</t>
  </si>
  <si>
    <t xml:space="preserve">Total Qtd: </t>
  </si>
  <si>
    <t xml:space="preserve">Dia da Semana: </t>
  </si>
  <si>
    <t xml:space="preserve">Total Valor: </t>
  </si>
  <si>
    <t xml:space="preserve">Preço Unitário: </t>
  </si>
  <si>
    <t xml:space="preserve">Situação: </t>
  </si>
  <si>
    <t>Estoque Mínimo</t>
  </si>
  <si>
    <t xml:space="preserve">Estoque Mínimo: </t>
  </si>
  <si>
    <t>Indice</t>
  </si>
  <si>
    <t>Desconto 
(Passo a Passo)</t>
  </si>
  <si>
    <t>Desconto 
(Diretão)</t>
  </si>
  <si>
    <t>Desconto 
(Vendedor)</t>
  </si>
  <si>
    <t>Desconto Final</t>
  </si>
  <si>
    <t>Rótulos de Linha</t>
  </si>
  <si>
    <t>Total Geral</t>
  </si>
  <si>
    <t>Soma de Estoque</t>
  </si>
  <si>
    <t>Soma de Preço Unitário</t>
  </si>
  <si>
    <t>Soma de Qtd</t>
  </si>
  <si>
    <t>Contagem de Produtos</t>
  </si>
  <si>
    <t>Soma de Total</t>
  </si>
  <si>
    <t>Abr</t>
  </si>
  <si>
    <t>Ago</t>
  </si>
  <si>
    <t>Fev</t>
  </si>
  <si>
    <t>Jan</t>
  </si>
  <si>
    <t>Jul</t>
  </si>
  <si>
    <t>Jun</t>
  </si>
  <si>
    <t>Mai</t>
  </si>
  <si>
    <t>Mar</t>
  </si>
  <si>
    <t>%Categoria</t>
  </si>
  <si>
    <t>%Restante</t>
  </si>
  <si>
    <t>TB_Vendas[Nº]</t>
  </si>
  <si>
    <t>TB_Vendas[Mês]</t>
  </si>
  <si>
    <t>TB_Vendas[Data]</t>
  </si>
  <si>
    <t>TB_Vendas[Código]</t>
  </si>
  <si>
    <t>TB_Vendas[Categoria]</t>
  </si>
  <si>
    <t>TB_Vendas[Qtd]</t>
  </si>
  <si>
    <t>TB_Vendas[Preço Unitário]</t>
  </si>
  <si>
    <t>TB_Vendas[Indice]</t>
  </si>
  <si>
    <t>TB_Vendas[Desconto  (Passo a Passo)]</t>
  </si>
  <si>
    <t>TB_Vendas[Desconto  (Diretão)]</t>
  </si>
  <si>
    <t>TB_Vendas[Desconto  (Vendedor)]</t>
  </si>
  <si>
    <t>TB_Vendas[Desconto Final]</t>
  </si>
  <si>
    <t>TB_Vendas[Total]</t>
  </si>
  <si>
    <t>TB_Vendas[Vendedor]</t>
  </si>
  <si>
    <t>Dados retornados para %Categoria, Acessórios (primeiras 1000 linhas).</t>
  </si>
  <si>
    <t>All</t>
  </si>
  <si>
    <t>Nome_Vend</t>
  </si>
  <si>
    <t>jan</t>
  </si>
  <si>
    <t>fev</t>
  </si>
  <si>
    <t>mar</t>
  </si>
  <si>
    <t>abr</t>
  </si>
  <si>
    <t>mai</t>
  </si>
  <si>
    <t>jun</t>
  </si>
  <si>
    <t>jul</t>
  </si>
  <si>
    <t>ago</t>
  </si>
  <si>
    <t>set</t>
  </si>
  <si>
    <t>out</t>
  </si>
  <si>
    <t>nov</t>
  </si>
  <si>
    <t>dez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</si>
</sst>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3">
    <numFmt numFmtId="44" formatCode="_-&quot;R$&quot;\ * #,##0.00_-;\-&quot;R$&quot;\ * #,##0.00_-;_-&quot;R$&quot;\ * &quot;-&quot;??_-;_-@_-"/>
    <numFmt numFmtId="164" formatCode="_-&quot;$&quot;\ * #,##0.00_-;\-&quot;$&quot;\ * #,##0.00_-;_-&quot;$&quot;\ * &quot;-&quot;??_-;_-@_-"/>
    <numFmt numFmtId="165" formatCode="_-[$R$-416]\ * #,##0.00_-;\-[$R$-416]\ * #,##0.00_-;_-[$R$-416]\ * &quot;-&quot;??_-;_-@_-"/>
  </numFmts>
  <fonts count="34">
    <font>
      <sz val="11"/>
      <color theme="1"/>
      <name val="Calibri"/>
      <family val="2"/>
      <scheme val="minor"/>
    </font>
    <font>
      <sz val="16"/>
      <color theme="1"/>
      <name val="Calibri"/>
      <family val="2"/>
      <scheme val="minor"/>
    </font>
    <font>
      <b/>
      <sz val="14"/>
      <color theme="0" tint="-4.9989318521683403E-2"/>
      <name val="Calibri"/>
      <family val="2"/>
      <scheme val="minor"/>
    </font>
    <font>
      <sz val="11"/>
      <color theme="0"/>
      <name val="Calibri"/>
      <family val="2"/>
      <scheme val="minor"/>
    </font>
    <font>
      <b/>
      <sz val="16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Montserrat"/>
    </font>
    <font>
      <b/>
      <sz val="16"/>
      <color rgb="FFDAFF01"/>
      <name val="Montserrat"/>
    </font>
    <font>
      <sz val="16"/>
      <color theme="1"/>
      <name val="Montserrat"/>
    </font>
    <font>
      <b/>
      <sz val="26"/>
      <color theme="1"/>
      <name val="Montserrat"/>
    </font>
    <font>
      <b/>
      <sz val="24"/>
      <color theme="1"/>
      <name val="Montserrat"/>
    </font>
    <font>
      <sz val="8"/>
      <name val="Calibri"/>
      <family val="2"/>
      <scheme val="minor"/>
    </font>
    <font>
      <sz val="12"/>
      <color theme="1"/>
      <name val="Montserrat"/>
    </font>
    <font>
      <b/>
      <sz val="12"/>
      <color theme="0"/>
      <name val="Montserrat"/>
    </font>
    <font>
      <b/>
      <sz val="14"/>
      <color theme="0" tint="-4.9989318521683403E-2"/>
      <name val="Montserrat"/>
    </font>
    <font>
      <b/>
      <sz val="11"/>
      <color theme="1"/>
      <name val="Montserrat"/>
    </font>
    <font>
      <b/>
      <sz val="12"/>
      <color theme="0" tint="-4.9989318521683403E-2"/>
      <name val="Montserrat"/>
    </font>
    <font>
      <b/>
      <sz val="16"/>
      <color theme="1"/>
      <name val="MuseoModerno"/>
    </font>
    <font>
      <b/>
      <sz val="12"/>
      <color theme="1"/>
      <name val="Montserrat"/>
    </font>
    <font>
      <b/>
      <sz val="12"/>
      <color theme="1"/>
      <name val="MuseoModerno"/>
    </font>
    <font>
      <u/>
      <sz val="11"/>
      <color theme="10"/>
      <name val="Calibri"/>
      <family val="2"/>
      <scheme val="minor"/>
    </font>
    <font>
      <u/>
      <sz val="11"/>
      <name val="Calibri"/>
      <family val="2"/>
      <scheme val="minor"/>
    </font>
    <font>
      <b/>
      <sz val="18"/>
      <color theme="1"/>
      <name val="MuseoModerno"/>
    </font>
    <font>
      <b/>
      <sz val="14"/>
      <color theme="1"/>
      <name val="Montserrat"/>
    </font>
    <font>
      <b/>
      <sz val="18"/>
      <color rgb="FFDAFF01"/>
      <name val="Calibri"/>
      <family val="2"/>
      <scheme val="minor"/>
    </font>
    <font>
      <sz val="18"/>
      <color theme="1"/>
      <name val="Calibri"/>
      <family val="2"/>
      <scheme val="minor"/>
    </font>
    <font>
      <b/>
      <sz val="8"/>
      <color theme="0" tint="-4.9989318521683403E-2"/>
      <name val="Montserrat"/>
    </font>
    <font>
      <sz val="12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Montserrat"/>
    </font>
    <font>
      <b/>
      <sz val="16"/>
      <color theme="0"/>
      <name val="Montserrat"/>
    </font>
    <font>
      <b/>
      <sz val="26"/>
      <color theme="0"/>
      <name val="Montserrat"/>
    </font>
    <font>
      <b/>
      <sz val="24"/>
      <color theme="0"/>
      <name val="Montserrat"/>
    </font>
    <font>
      <sz val="11"/>
      <color rgb="FF000000"/>
      <name val="Calibri"/>
      <family val="2"/>
    </font>
  </fonts>
  <fills count="9">
    <fill>
      <patternFill patternType="none"/>
    </fill>
    <fill>
      <patternFill patternType="gray125"/>
    </fill>
    <fill>
      <patternFill patternType="solid">
        <fgColor theme="1"/>
        <bgColor indexed="64"/>
      </patternFill>
    </fill>
    <fill>
      <patternFill patternType="solid">
        <fgColor rgb="FFDAFF01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7"/>
      </patternFill>
    </fill>
    <fill>
      <patternFill patternType="solid">
        <fgColor theme="1"/>
        <bgColor theme="1"/>
      </patternFill>
    </fill>
    <fill>
      <patternFill patternType="solid">
        <fgColor rgb="FFCCCCCC"/>
        <bgColor indexed="64"/>
      </patternFill>
    </fill>
    <fill>
      <patternFill patternType="solid">
        <fgColor theme="0"/>
        <bgColor indexed="64"/>
      </patternFill>
    </fill>
  </fills>
  <borders count="34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theme="0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dashed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thick">
        <color theme="0"/>
      </bottom>
      <diagonal/>
    </border>
    <border>
      <left style="medium">
        <color indexed="64"/>
      </left>
      <right style="medium">
        <color indexed="64"/>
      </right>
      <top/>
      <bottom style="dashed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thick">
        <color theme="0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thin">
        <color theme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theme="1"/>
      </right>
      <top style="thin">
        <color theme="1"/>
      </top>
      <bottom/>
      <diagonal/>
    </border>
  </borders>
  <cellStyleXfs count="7">
    <xf numFmtId="0" fontId="0" fillId="0" borderId="0"/>
    <xf numFmtId="0" fontId="3" fillId="5" borderId="0" applyNumberFormat="0" applyBorder="0" applyAlignment="0" applyProtection="0"/>
    <xf numFmtId="0" fontId="4" fillId="3" borderId="0" applyNumberFormat="0" applyBorder="0" applyAlignment="0" applyProtection="0">
      <alignment horizontal="center"/>
    </xf>
    <xf numFmtId="0" fontId="2" fillId="4" borderId="7" applyNumberFormat="0" applyBorder="0" applyAlignment="0" applyProtection="0">
      <alignment horizontal="center"/>
    </xf>
    <xf numFmtId="164" fontId="5" fillId="0" borderId="0" applyFont="0" applyFill="0" applyBorder="0" applyAlignment="0" applyProtection="0"/>
    <xf numFmtId="9" fontId="5" fillId="0" borderId="0" applyFont="0" applyFill="0" applyBorder="0" applyAlignment="0" applyProtection="0"/>
    <xf numFmtId="0" fontId="20" fillId="0" borderId="0" applyNumberFormat="0" applyFill="0" applyBorder="0" applyAlignment="0" applyProtection="0"/>
  </cellStyleXfs>
  <cellXfs count="120">
    <xf numFmtId="0" fontId="0" fillId="0" borderId="0" xfId="0"/>
    <xf numFmtId="0" fontId="0" fillId="0" borderId="0" xfId="0" applyAlignment="1">
      <alignment horizontal="center"/>
    </xf>
    <xf numFmtId="165" fontId="0" fillId="0" borderId="0" xfId="0" applyNumberFormat="1"/>
    <xf numFmtId="14" fontId="0" fillId="0" borderId="0" xfId="0" applyNumberFormat="1" applyAlignment="1">
      <alignment horizontal="center"/>
    </xf>
    <xf numFmtId="1" fontId="0" fillId="0" borderId="0" xfId="0" applyNumberFormat="1" applyAlignment="1">
      <alignment horizontal="center"/>
    </xf>
    <xf numFmtId="0" fontId="6" fillId="0" borderId="0" xfId="0" applyFont="1"/>
    <xf numFmtId="0" fontId="8" fillId="0" borderId="0" xfId="0" applyFont="1"/>
    <xf numFmtId="165" fontId="0" fillId="0" borderId="0" xfId="0" applyNumberFormat="1" applyAlignment="1">
      <alignment horizontal="center"/>
    </xf>
    <xf numFmtId="44" fontId="0" fillId="0" borderId="0" xfId="0" applyNumberFormat="1"/>
    <xf numFmtId="0" fontId="12" fillId="0" borderId="0" xfId="0" applyFont="1" applyAlignment="1">
      <alignment horizontal="center"/>
    </xf>
    <xf numFmtId="0" fontId="14" fillId="2" borderId="19" xfId="3" applyFont="1" applyFill="1" applyBorder="1" applyAlignment="1">
      <alignment horizontal="center"/>
    </xf>
    <xf numFmtId="1" fontId="18" fillId="7" borderId="7" xfId="0" applyNumberFormat="1" applyFont="1" applyFill="1" applyBorder="1" applyAlignment="1">
      <alignment horizontal="center"/>
    </xf>
    <xf numFmtId="1" fontId="18" fillId="7" borderId="20" xfId="0" applyNumberFormat="1" applyFont="1" applyFill="1" applyBorder="1" applyAlignment="1">
      <alignment horizontal="center"/>
    </xf>
    <xf numFmtId="0" fontId="0" fillId="3" borderId="0" xfId="0" applyFill="1"/>
    <xf numFmtId="0" fontId="0" fillId="7" borderId="0" xfId="0" applyFill="1"/>
    <xf numFmtId="0" fontId="1" fillId="0" borderId="0" xfId="0" applyFont="1" applyAlignment="1">
      <alignment horizontal="center"/>
    </xf>
    <xf numFmtId="0" fontId="17" fillId="3" borderId="0" xfId="0" applyFont="1" applyFill="1"/>
    <xf numFmtId="0" fontId="1" fillId="7" borderId="0" xfId="0" applyFont="1" applyFill="1" applyAlignment="1">
      <alignment horizontal="center"/>
    </xf>
    <xf numFmtId="0" fontId="19" fillId="3" borderId="0" xfId="0" applyFont="1" applyFill="1" applyAlignment="1">
      <alignment vertical="center"/>
    </xf>
    <xf numFmtId="0" fontId="21" fillId="0" borderId="0" xfId="6" applyFont="1" applyFill="1" applyAlignment="1">
      <alignment horizontal="center"/>
    </xf>
    <xf numFmtId="0" fontId="22" fillId="3" borderId="0" xfId="0" applyFont="1" applyFill="1" applyAlignment="1">
      <alignment vertical="center"/>
    </xf>
    <xf numFmtId="0" fontId="23" fillId="7" borderId="23" xfId="0" applyFont="1" applyFill="1" applyBorder="1" applyAlignment="1">
      <alignment horizontal="center" vertical="center"/>
    </xf>
    <xf numFmtId="0" fontId="0" fillId="0" borderId="0" xfId="0" applyAlignment="1">
      <alignment horizontal="right"/>
    </xf>
    <xf numFmtId="0" fontId="23" fillId="7" borderId="27" xfId="0" applyFont="1" applyFill="1" applyBorder="1" applyAlignment="1">
      <alignment horizontal="center"/>
    </xf>
    <xf numFmtId="0" fontId="23" fillId="7" borderId="24" xfId="0" applyFont="1" applyFill="1" applyBorder="1" applyAlignment="1">
      <alignment horizontal="center" vertical="center"/>
    </xf>
    <xf numFmtId="0" fontId="14" fillId="2" borderId="16" xfId="3" applyFont="1" applyFill="1" applyBorder="1" applyAlignment="1">
      <alignment horizontal="center"/>
    </xf>
    <xf numFmtId="0" fontId="14" fillId="2" borderId="17" xfId="3" applyFont="1" applyFill="1" applyBorder="1" applyAlignment="1">
      <alignment horizontal="center"/>
    </xf>
    <xf numFmtId="0" fontId="14" fillId="2" borderId="21" xfId="3" applyFont="1" applyFill="1" applyBorder="1" applyAlignment="1">
      <alignment horizontal="center" vertical="center"/>
    </xf>
    <xf numFmtId="1" fontId="15" fillId="0" borderId="7" xfId="0" applyNumberFormat="1" applyFont="1" applyBorder="1" applyAlignment="1">
      <alignment horizontal="center" vertical="center"/>
    </xf>
    <xf numFmtId="0" fontId="0" fillId="0" borderId="0" xfId="0" applyAlignment="1">
      <alignment vertical="center"/>
    </xf>
    <xf numFmtId="1" fontId="15" fillId="0" borderId="1" xfId="0" applyNumberFormat="1" applyFont="1" applyBorder="1" applyAlignment="1">
      <alignment horizontal="center"/>
    </xf>
    <xf numFmtId="0" fontId="14" fillId="2" borderId="18" xfId="3" applyFont="1" applyFill="1" applyBorder="1" applyAlignment="1">
      <alignment horizontal="center"/>
    </xf>
    <xf numFmtId="9" fontId="15" fillId="0" borderId="7" xfId="5" applyFont="1" applyBorder="1" applyAlignment="1">
      <alignment horizontal="center" vertical="center"/>
    </xf>
    <xf numFmtId="0" fontId="14" fillId="2" borderId="28" xfId="3" applyFont="1" applyFill="1" applyBorder="1" applyAlignment="1">
      <alignment horizontal="center" vertical="center" wrapText="1"/>
    </xf>
    <xf numFmtId="0" fontId="14" fillId="2" borderId="28" xfId="3" applyFont="1" applyFill="1" applyBorder="1" applyAlignment="1">
      <alignment horizontal="center" vertical="center"/>
    </xf>
    <xf numFmtId="9" fontId="15" fillId="0" borderId="28" xfId="5" applyFont="1" applyBorder="1" applyAlignment="1">
      <alignment horizontal="center" vertical="center"/>
    </xf>
    <xf numFmtId="0" fontId="17" fillId="3" borderId="0" xfId="0" applyFont="1" applyFill="1" applyAlignment="1">
      <alignment vertical="center"/>
    </xf>
    <xf numFmtId="1" fontId="18" fillId="7" borderId="2" xfId="0" applyNumberFormat="1" applyFont="1" applyFill="1" applyBorder="1" applyAlignment="1">
      <alignment horizontal="center"/>
    </xf>
    <xf numFmtId="1" fontId="18" fillId="7" borderId="4" xfId="0" applyNumberFormat="1" applyFont="1" applyFill="1" applyBorder="1" applyAlignment="1">
      <alignment horizontal="center"/>
    </xf>
    <xf numFmtId="1" fontId="15" fillId="0" borderId="5" xfId="0" applyNumberFormat="1" applyFont="1" applyBorder="1" applyAlignment="1">
      <alignment horizontal="center"/>
    </xf>
    <xf numFmtId="9" fontId="15" fillId="0" borderId="3" xfId="5" applyFont="1" applyBorder="1" applyAlignment="1">
      <alignment horizontal="center"/>
    </xf>
    <xf numFmtId="9" fontId="15" fillId="0" borderId="6" xfId="5" applyFont="1" applyBorder="1" applyAlignment="1">
      <alignment horizontal="center"/>
    </xf>
    <xf numFmtId="9" fontId="0" fillId="0" borderId="0" xfId="5" applyFont="1"/>
    <xf numFmtId="9" fontId="0" fillId="0" borderId="0" xfId="5" applyFont="1" applyAlignment="1">
      <alignment horizontal="center"/>
    </xf>
    <xf numFmtId="0" fontId="23" fillId="7" borderId="22" xfId="0" applyFont="1" applyFill="1" applyBorder="1" applyAlignment="1">
      <alignment horizontal="center"/>
    </xf>
    <xf numFmtId="0" fontId="16" fillId="2" borderId="25" xfId="3" applyFont="1" applyFill="1" applyBorder="1" applyAlignment="1">
      <alignment horizontal="right"/>
    </xf>
    <xf numFmtId="0" fontId="16" fillId="2" borderId="11" xfId="3" applyFont="1" applyFill="1" applyBorder="1" applyAlignment="1">
      <alignment horizontal="right"/>
    </xf>
    <xf numFmtId="0" fontId="16" fillId="2" borderId="26" xfId="3" applyFont="1" applyFill="1" applyBorder="1" applyAlignment="1">
      <alignment horizontal="right"/>
    </xf>
    <xf numFmtId="0" fontId="16" fillId="2" borderId="29" xfId="3" applyFont="1" applyFill="1" applyBorder="1" applyAlignment="1">
      <alignment horizontal="right"/>
    </xf>
    <xf numFmtId="14" fontId="23" fillId="7" borderId="22" xfId="0" applyNumberFormat="1" applyFont="1" applyFill="1" applyBorder="1" applyAlignment="1">
      <alignment horizontal="center"/>
    </xf>
    <xf numFmtId="165" fontId="23" fillId="7" borderId="23" xfId="0" applyNumberFormat="1" applyFont="1" applyFill="1" applyBorder="1" applyAlignment="1">
      <alignment horizontal="center" vertical="center"/>
    </xf>
    <xf numFmtId="0" fontId="1" fillId="0" borderId="0" xfId="0" applyFont="1"/>
    <xf numFmtId="0" fontId="25" fillId="0" borderId="0" xfId="0" applyFont="1"/>
    <xf numFmtId="0" fontId="14" fillId="2" borderId="8" xfId="3" applyFont="1" applyFill="1" applyBorder="1" applyAlignment="1">
      <alignment horizontal="center" vertical="center" wrapText="1"/>
    </xf>
    <xf numFmtId="0" fontId="14" fillId="2" borderId="30" xfId="3" applyFont="1" applyFill="1" applyBorder="1" applyAlignment="1">
      <alignment horizontal="center" vertical="center" wrapText="1"/>
    </xf>
    <xf numFmtId="0" fontId="15" fillId="0" borderId="28" xfId="5" applyNumberFormat="1" applyFont="1" applyBorder="1" applyAlignment="1">
      <alignment horizontal="center" vertical="center"/>
    </xf>
    <xf numFmtId="165" fontId="23" fillId="7" borderId="24" xfId="0" applyNumberFormat="1" applyFont="1" applyFill="1" applyBorder="1" applyAlignment="1">
      <alignment horizontal="center" vertical="center"/>
    </xf>
    <xf numFmtId="0" fontId="2" fillId="2" borderId="0" xfId="3" applyFill="1" applyBorder="1" applyAlignment="1">
      <alignment horizontal="center" vertical="center" wrapText="1"/>
    </xf>
    <xf numFmtId="0" fontId="16" fillId="2" borderId="0" xfId="3" applyFont="1" applyFill="1" applyBorder="1" applyAlignment="1">
      <alignment horizontal="center" vertical="center" wrapText="1"/>
    </xf>
    <xf numFmtId="0" fontId="13" fillId="6" borderId="0" xfId="0" applyFont="1" applyFill="1" applyAlignment="1">
      <alignment horizontal="center" vertical="center" wrapText="1"/>
    </xf>
    <xf numFmtId="0" fontId="0" fillId="0" borderId="0" xfId="0" applyAlignment="1">
      <alignment vertical="center" wrapText="1"/>
    </xf>
    <xf numFmtId="0" fontId="26" fillId="2" borderId="0" xfId="3" applyFont="1" applyFill="1" applyBorder="1" applyAlignment="1">
      <alignment horizontal="center" vertical="center" wrapText="1"/>
    </xf>
    <xf numFmtId="9" fontId="25" fillId="0" borderId="0" xfId="5" applyFont="1" applyFill="1"/>
    <xf numFmtId="0" fontId="0" fillId="0" borderId="0" xfId="0" pivotButton="1"/>
    <xf numFmtId="0" fontId="0" fillId="0" borderId="0" xfId="0" applyAlignment="1">
      <alignment horizontal="left"/>
    </xf>
    <xf numFmtId="0" fontId="27" fillId="0" borderId="0" xfId="0" applyFont="1" applyAlignment="1">
      <alignment horizontal="left"/>
    </xf>
    <xf numFmtId="165" fontId="27" fillId="0" borderId="0" xfId="0" applyNumberFormat="1" applyFont="1"/>
    <xf numFmtId="165" fontId="0" fillId="7" borderId="23" xfId="0" applyNumberFormat="1" applyFill="1" applyBorder="1" applyAlignment="1">
      <alignment horizontal="center" vertical="center"/>
    </xf>
    <xf numFmtId="0" fontId="0" fillId="7" borderId="23" xfId="0" applyFill="1" applyBorder="1" applyAlignment="1">
      <alignment horizontal="center" vertical="center"/>
    </xf>
    <xf numFmtId="9" fontId="0" fillId="0" borderId="0" xfId="0" applyNumberFormat="1"/>
    <xf numFmtId="14" fontId="0" fillId="0" borderId="0" xfId="0" applyNumberFormat="1"/>
    <xf numFmtId="0" fontId="28" fillId="0" borderId="0" xfId="0" applyFont="1"/>
    <xf numFmtId="0" fontId="29" fillId="8" borderId="0" xfId="0" applyFont="1" applyFill="1"/>
    <xf numFmtId="0" fontId="27" fillId="0" borderId="0" xfId="0" applyFont="1" applyAlignment="1">
      <alignment horizontal="center"/>
    </xf>
    <xf numFmtId="0" fontId="0" fillId="3" borderId="0" xfId="0" applyFill="1" applyAlignment="1">
      <alignment horizontal="center"/>
    </xf>
    <xf numFmtId="0" fontId="22" fillId="3" borderId="0" xfId="0" applyFont="1" applyFill="1" applyAlignment="1">
      <alignment horizontal="left" vertical="center"/>
    </xf>
    <xf numFmtId="0" fontId="24" fillId="2" borderId="0" xfId="0" applyFont="1" applyFill="1" applyAlignment="1">
      <alignment horizontal="center" vertical="center"/>
    </xf>
    <xf numFmtId="0" fontId="7" fillId="2" borderId="8" xfId="0" applyFont="1" applyFill="1" applyBorder="1" applyAlignment="1">
      <alignment horizontal="center" vertical="center"/>
    </xf>
    <xf numFmtId="0" fontId="7" fillId="2" borderId="9" xfId="0" applyFont="1" applyFill="1" applyBorder="1" applyAlignment="1">
      <alignment horizontal="center" vertical="center"/>
    </xf>
    <xf numFmtId="0" fontId="7" fillId="2" borderId="10" xfId="0" applyFont="1" applyFill="1" applyBorder="1" applyAlignment="1">
      <alignment horizontal="center" vertical="center"/>
    </xf>
    <xf numFmtId="0" fontId="7" fillId="2" borderId="13" xfId="0" applyFont="1" applyFill="1" applyBorder="1" applyAlignment="1">
      <alignment horizontal="center" vertical="center"/>
    </xf>
    <xf numFmtId="0" fontId="7" fillId="2" borderId="14" xfId="0" applyFont="1" applyFill="1" applyBorder="1" applyAlignment="1">
      <alignment horizontal="center" vertical="center"/>
    </xf>
    <xf numFmtId="0" fontId="7" fillId="2" borderId="15" xfId="0" applyFont="1" applyFill="1" applyBorder="1" applyAlignment="1">
      <alignment horizontal="center" vertical="center"/>
    </xf>
    <xf numFmtId="0" fontId="6" fillId="0" borderId="8" xfId="0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0" fontId="6" fillId="0" borderId="10" xfId="0" applyFont="1" applyBorder="1" applyAlignment="1">
      <alignment horizontal="center"/>
    </xf>
    <xf numFmtId="0" fontId="6" fillId="0" borderId="11" xfId="0" applyFont="1" applyBorder="1" applyAlignment="1">
      <alignment horizontal="center"/>
    </xf>
    <xf numFmtId="0" fontId="6" fillId="0" borderId="0" xfId="0" applyFont="1" applyAlignment="1">
      <alignment horizontal="center"/>
    </xf>
    <xf numFmtId="0" fontId="6" fillId="0" borderId="12" xfId="0" applyFont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15" xfId="0" applyFont="1" applyBorder="1" applyAlignment="1">
      <alignment horizontal="center"/>
    </xf>
    <xf numFmtId="0" fontId="30" fillId="8" borderId="0" xfId="0" applyFont="1" applyFill="1" applyAlignment="1">
      <alignment horizontal="center" vertical="center"/>
    </xf>
    <xf numFmtId="0" fontId="31" fillId="8" borderId="0" xfId="0" applyFont="1" applyFill="1" applyAlignment="1">
      <alignment horizontal="center"/>
    </xf>
    <xf numFmtId="165" fontId="32" fillId="8" borderId="0" xfId="4" applyNumberFormat="1" applyFont="1" applyFill="1" applyBorder="1" applyAlignment="1">
      <alignment horizontal="center"/>
    </xf>
    <xf numFmtId="0" fontId="9" fillId="0" borderId="8" xfId="0" applyFont="1" applyBorder="1" applyAlignment="1">
      <alignment horizontal="center"/>
    </xf>
    <xf numFmtId="0" fontId="9" fillId="0" borderId="9" xfId="0" applyFont="1" applyBorder="1" applyAlignment="1">
      <alignment horizontal="center"/>
    </xf>
    <xf numFmtId="0" fontId="9" fillId="0" borderId="10" xfId="0" applyFont="1" applyBorder="1" applyAlignment="1">
      <alignment horizontal="center"/>
    </xf>
    <xf numFmtId="0" fontId="9" fillId="0" borderId="11" xfId="0" applyFont="1" applyBorder="1" applyAlignment="1">
      <alignment horizontal="center"/>
    </xf>
    <xf numFmtId="0" fontId="9" fillId="0" borderId="0" xfId="0" applyFont="1" applyAlignment="1">
      <alignment horizontal="center"/>
    </xf>
    <xf numFmtId="0" fontId="9" fillId="0" borderId="12" xfId="0" applyFont="1" applyBorder="1" applyAlignment="1">
      <alignment horizontal="center"/>
    </xf>
    <xf numFmtId="0" fontId="9" fillId="0" borderId="13" xfId="0" applyFont="1" applyBorder="1" applyAlignment="1">
      <alignment horizontal="center"/>
    </xf>
    <xf numFmtId="0" fontId="9" fillId="0" borderId="14" xfId="0" applyFont="1" applyBorder="1" applyAlignment="1">
      <alignment horizontal="center"/>
    </xf>
    <xf numFmtId="0" fontId="9" fillId="0" borderId="15" xfId="0" applyFont="1" applyBorder="1" applyAlignment="1">
      <alignment horizontal="center"/>
    </xf>
    <xf numFmtId="165" fontId="10" fillId="0" borderId="8" xfId="4" applyNumberFormat="1" applyFont="1" applyBorder="1" applyAlignment="1">
      <alignment horizontal="center"/>
    </xf>
    <xf numFmtId="165" fontId="10" fillId="0" borderId="9" xfId="4" applyNumberFormat="1" applyFont="1" applyBorder="1" applyAlignment="1">
      <alignment horizontal="center"/>
    </xf>
    <xf numFmtId="165" fontId="10" fillId="0" borderId="10" xfId="4" applyNumberFormat="1" applyFont="1" applyBorder="1" applyAlignment="1">
      <alignment horizontal="center"/>
    </xf>
    <xf numFmtId="165" fontId="10" fillId="0" borderId="11" xfId="4" applyNumberFormat="1" applyFont="1" applyBorder="1" applyAlignment="1">
      <alignment horizontal="center"/>
    </xf>
    <xf numFmtId="165" fontId="10" fillId="0" borderId="0" xfId="4" applyNumberFormat="1" applyFont="1" applyBorder="1" applyAlignment="1">
      <alignment horizontal="center"/>
    </xf>
    <xf numFmtId="165" fontId="10" fillId="0" borderId="12" xfId="4" applyNumberFormat="1" applyFont="1" applyBorder="1" applyAlignment="1">
      <alignment horizontal="center"/>
    </xf>
    <xf numFmtId="165" fontId="10" fillId="0" borderId="13" xfId="4" applyNumberFormat="1" applyFont="1" applyBorder="1" applyAlignment="1">
      <alignment horizontal="center"/>
    </xf>
    <xf numFmtId="165" fontId="10" fillId="0" borderId="14" xfId="4" applyNumberFormat="1" applyFont="1" applyBorder="1" applyAlignment="1">
      <alignment horizontal="center"/>
    </xf>
    <xf numFmtId="165" fontId="10" fillId="0" borderId="15" xfId="4" applyNumberFormat="1" applyFont="1" applyBorder="1" applyAlignment="1">
      <alignment horizontal="center"/>
    </xf>
    <xf numFmtId="0" fontId="0" fillId="0" borderId="32" xfId="0" applyFont="1" applyBorder="1"/>
    <xf numFmtId="0" fontId="13" fillId="6" borderId="31" xfId="0" applyFont="1" applyFill="1" applyBorder="1" applyAlignment="1">
      <alignment horizontal="center"/>
    </xf>
    <xf numFmtId="0" fontId="13" fillId="6" borderId="32" xfId="0" applyFont="1" applyFill="1" applyBorder="1" applyAlignment="1">
      <alignment horizontal="center"/>
    </xf>
    <xf numFmtId="0" fontId="13" fillId="6" borderId="33" xfId="0" applyFont="1" applyFill="1" applyBorder="1" applyAlignment="1">
      <alignment horizontal="center"/>
    </xf>
    <xf numFmtId="0" fontId="0" fillId="0" borderId="31" xfId="0" applyFont="1" applyBorder="1" applyAlignment="1">
      <alignment horizontal="center"/>
    </xf>
    <xf numFmtId="0" fontId="0" fillId="0" borderId="32" xfId="0" applyFont="1" applyBorder="1" applyAlignment="1">
      <alignment horizontal="center"/>
    </xf>
    <xf numFmtId="165" fontId="0" fillId="0" borderId="33" xfId="0" applyNumberFormat="1" applyFont="1" applyBorder="1"/>
  </cellXfs>
  <cellStyles count="7">
    <cellStyle name="Cabeçalho Meteora" xfId="3" xr:uid="{43DBFFA1-791E-423B-B2A6-377CC2810274}"/>
    <cellStyle name="Ênfase4" xfId="1" builtinId="41" customBuiltin="1"/>
    <cellStyle name="Hiperlink" xfId="6" builtinId="8"/>
    <cellStyle name="Moeda" xfId="4" builtinId="4"/>
    <cellStyle name="Normal" xfId="0" builtinId="0"/>
    <cellStyle name="Porcentagem" xfId="5" builtinId="5"/>
    <cellStyle name="Título Meteora" xfId="2" xr:uid="{52F1EA3C-B23E-4AE6-AE73-27AD9F7C9021}"/>
  </cellStyles>
  <dxfs count="44"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3" formatCode="0%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9" formatCode="dd/mm/yyyy"/>
    </dxf>
    <dxf>
      <alignment horizontal="center"/>
    </dxf>
    <dxf>
      <numFmt numFmtId="165" formatCode="_-[$R$-416]\ * #,##0.00_-;\-[$R$-416]\ * #,##0.00_-;_-[$R$-416]\ * &quot;-&quot;??_-;_-@_-"/>
    </dxf>
    <dxf>
      <font>
        <sz val="12"/>
      </font>
    </dxf>
    <dxf>
      <font>
        <sz val="12"/>
      </font>
    </dxf>
    <dxf>
      <numFmt numFmtId="0" formatCode="General"/>
    </dxf>
    <dxf>
      <numFmt numFmtId="0" formatCode="General"/>
    </dxf>
    <dxf>
      <numFmt numFmtId="0" formatCode="General"/>
    </dxf>
    <dxf>
      <numFmt numFmtId="0" formatCode="General"/>
    </dxf>
    <dxf>
      <numFmt numFmtId="19" formatCode="dd/mm/yyyy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Calibri"/>
        <family val="2"/>
        <scheme val="minor"/>
      </font>
      <numFmt numFmtId="13" formatCode="0%"/>
      <alignment horizontal="center" vertical="bottom" textRotation="0" wrapText="0" indent="0" justifyLastLine="0" shrinkToFit="0" readingOrder="0"/>
    </dxf>
    <dxf>
      <numFmt numFmtId="13" formatCode="0%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0" formatCode="General"/>
      <alignment horizontal="center" vertical="bottom" textRotation="0" wrapText="0" indent="0" justifyLastLine="0" shrinkToFit="0" readingOrder="0"/>
    </dxf>
    <dxf>
      <numFmt numFmtId="165" formatCode="_-[$R$-416]\ * #,##0.00_-;\-[$R$-416]\ * #,##0.00_-;_-[$R$-416]\ * &quot;-&quot;??_-;_-@_-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numFmt numFmtId="19" formatCode="dd/mm/yyyy"/>
      <alignment horizontal="center" vertical="bottom" textRotation="0" wrapText="0" indent="0" justifyLastLine="0" shrinkToFit="0" readingOrder="0"/>
    </dxf>
    <dxf>
      <numFmt numFmtId="1" formatCode="0"/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ill>
        <patternFill patternType="solid">
          <bgColor theme="1"/>
        </patternFill>
      </fill>
      <alignment horizontal="center" vertical="center" textRotation="0" wrapText="1" indent="0" justifyLastLine="0" shrinkToFit="0" readingOrder="0"/>
    </dxf>
    <dxf>
      <font>
        <color rgb="FF9C0006"/>
      </font>
      <fill>
        <patternFill>
          <bgColor rgb="FFFFC7CE"/>
        </patternFill>
      </fill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numFmt numFmtId="165" formatCode="_-[$R$-416]\ * #,##0.00_-;\-[$R$-416]\ * #,##0.00_-;_-[$R$-416]\ * &quot;-&quot;??_-;_-@_-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alignment horizontal="center" vertical="bottom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12"/>
        <color theme="1"/>
        <name val="Montserrat"/>
        <scheme val="none"/>
      </font>
      <alignment horizontal="center" vertical="bottom" textRotation="0" wrapText="0" indent="0" justifyLastLine="0" shrinkToFit="0" readingOrder="0"/>
    </dxf>
  </dxfs>
  <tableStyles count="0" defaultTableStyle="TableStyleMedium2" defaultPivotStyle="PivotStyleLight16"/>
  <colors>
    <mruColors>
      <color rgb="FFDAFF01"/>
      <color rgb="FF9353FF"/>
      <color rgb="FFCCCCCC"/>
      <color rgb="FF4472C4"/>
      <color rgb="FFEE6471"/>
      <color rgb="FFF87F46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pivotCacheDefinition" Target="pivotCache/pivotCacheDefinition2.xml"/><Relationship Id="rId26" Type="http://schemas.microsoft.com/office/2007/relationships/slicerCache" Target="slicerCaches/slicerCache1.xml"/><Relationship Id="rId39" Type="http://schemas.openxmlformats.org/officeDocument/2006/relationships/customXml" Target="../customXml/item1.xml"/><Relationship Id="rId21" Type="http://schemas.openxmlformats.org/officeDocument/2006/relationships/pivotCacheDefinition" Target="pivotCache/pivotCacheDefinition5.xml"/><Relationship Id="rId34" Type="http://schemas.openxmlformats.org/officeDocument/2006/relationships/styles" Target="styles.xml"/><Relationship Id="rId42" Type="http://schemas.openxmlformats.org/officeDocument/2006/relationships/customXml" Target="../customXml/item4.xml"/><Relationship Id="rId47" Type="http://schemas.openxmlformats.org/officeDocument/2006/relationships/customXml" Target="../customXml/item9.xml"/><Relationship Id="rId50" Type="http://schemas.openxmlformats.org/officeDocument/2006/relationships/customXml" Target="../customXml/item12.xml"/><Relationship Id="rId55" Type="http://schemas.openxmlformats.org/officeDocument/2006/relationships/customXml" Target="../customXml/item17.xml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pivotCacheDefinition" Target="pivotCache/pivotCacheDefinition11.xml"/><Relationship Id="rId11" Type="http://schemas.openxmlformats.org/officeDocument/2006/relationships/worksheet" Target="worksheets/sheet11.xml"/><Relationship Id="rId24" Type="http://schemas.openxmlformats.org/officeDocument/2006/relationships/pivotCacheDefinition" Target="pivotCache/pivotCacheDefinition8.xml"/><Relationship Id="rId32" Type="http://schemas.openxmlformats.org/officeDocument/2006/relationships/theme" Target="theme/theme1.xml"/><Relationship Id="rId37" Type="http://schemas.openxmlformats.org/officeDocument/2006/relationships/powerPivotData" Target="model/item.data"/><Relationship Id="rId40" Type="http://schemas.openxmlformats.org/officeDocument/2006/relationships/customXml" Target="../customXml/item2.xml"/><Relationship Id="rId45" Type="http://schemas.openxmlformats.org/officeDocument/2006/relationships/customXml" Target="../customXml/item7.xml"/><Relationship Id="rId53" Type="http://schemas.openxmlformats.org/officeDocument/2006/relationships/customXml" Target="../customXml/item15.xml"/><Relationship Id="rId58" Type="http://schemas.openxmlformats.org/officeDocument/2006/relationships/customXml" Target="../customXml/item20.xml"/><Relationship Id="rId5" Type="http://schemas.openxmlformats.org/officeDocument/2006/relationships/worksheet" Target="worksheets/sheet5.xml"/><Relationship Id="rId61" Type="http://schemas.microsoft.com/office/2006/relationships/vbaProject" Target="vbaProject.bin"/><Relationship Id="rId19" Type="http://schemas.openxmlformats.org/officeDocument/2006/relationships/pivotCacheDefinition" Target="pivotCache/pivotCacheDefinition3.xml"/><Relationship Id="rId14" Type="http://schemas.openxmlformats.org/officeDocument/2006/relationships/worksheet" Target="worksheets/sheet14.xml"/><Relationship Id="rId22" Type="http://schemas.openxmlformats.org/officeDocument/2006/relationships/pivotCacheDefinition" Target="pivotCache/pivotCacheDefinition6.xml"/><Relationship Id="rId27" Type="http://schemas.microsoft.com/office/2007/relationships/slicerCache" Target="slicerCaches/slicerCache2.xml"/><Relationship Id="rId30" Type="http://schemas.microsoft.com/office/2011/relationships/timelineCache" Target="timelineCaches/timelineCache1.xml"/><Relationship Id="rId35" Type="http://schemas.openxmlformats.org/officeDocument/2006/relationships/sharedStrings" Target="sharedStrings.xml"/><Relationship Id="rId43" Type="http://schemas.openxmlformats.org/officeDocument/2006/relationships/customXml" Target="../customXml/item5.xml"/><Relationship Id="rId48" Type="http://schemas.openxmlformats.org/officeDocument/2006/relationships/customXml" Target="../customXml/item10.xml"/><Relationship Id="rId56" Type="http://schemas.openxmlformats.org/officeDocument/2006/relationships/customXml" Target="../customXml/item18.xml"/><Relationship Id="rId8" Type="http://schemas.openxmlformats.org/officeDocument/2006/relationships/worksheet" Target="worksheets/sheet8.xml"/><Relationship Id="rId51" Type="http://schemas.openxmlformats.org/officeDocument/2006/relationships/customXml" Target="../customXml/item13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pivotCacheDefinition" Target="pivotCache/pivotCacheDefinition1.xml"/><Relationship Id="rId25" Type="http://schemas.openxmlformats.org/officeDocument/2006/relationships/pivotCacheDefinition" Target="pivotCache/pivotCacheDefinition9.xml"/><Relationship Id="rId33" Type="http://schemas.openxmlformats.org/officeDocument/2006/relationships/connections" Target="connections.xml"/><Relationship Id="rId38" Type="http://schemas.openxmlformats.org/officeDocument/2006/relationships/calcChain" Target="calcChain.xml"/><Relationship Id="rId46" Type="http://schemas.openxmlformats.org/officeDocument/2006/relationships/customXml" Target="../customXml/item8.xml"/><Relationship Id="rId59" Type="http://schemas.openxmlformats.org/officeDocument/2006/relationships/customXml" Target="../customXml/item21.xml"/><Relationship Id="rId20" Type="http://schemas.openxmlformats.org/officeDocument/2006/relationships/pivotCacheDefinition" Target="pivotCache/pivotCacheDefinition4.xml"/><Relationship Id="rId41" Type="http://schemas.openxmlformats.org/officeDocument/2006/relationships/customXml" Target="../customXml/item3.xml"/><Relationship Id="rId54" Type="http://schemas.openxmlformats.org/officeDocument/2006/relationships/customXml" Target="../customXml/item16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pivotCacheDefinition" Target="pivotCache/pivotCacheDefinition7.xml"/><Relationship Id="rId28" Type="http://schemas.openxmlformats.org/officeDocument/2006/relationships/pivotCacheDefinition" Target="pivotCache/pivotCacheDefinition10.xml"/><Relationship Id="rId36" Type="http://schemas.openxmlformats.org/officeDocument/2006/relationships/sheetMetadata" Target="metadata.xml"/><Relationship Id="rId49" Type="http://schemas.openxmlformats.org/officeDocument/2006/relationships/customXml" Target="../customXml/item11.xml"/><Relationship Id="rId57" Type="http://schemas.openxmlformats.org/officeDocument/2006/relationships/customXml" Target="../customXml/item19.xml"/><Relationship Id="rId10" Type="http://schemas.openxmlformats.org/officeDocument/2006/relationships/worksheet" Target="worksheets/sheet10.xml"/><Relationship Id="rId31" Type="http://schemas.microsoft.com/office/2011/relationships/timelineCache" Target="timelineCaches/timelineCache2.xml"/><Relationship Id="rId44" Type="http://schemas.openxmlformats.org/officeDocument/2006/relationships/customXml" Target="../customXml/item6.xml"/><Relationship Id="rId52" Type="http://schemas.openxmlformats.org/officeDocument/2006/relationships/customXml" Target="../customXml/item14.xml"/><Relationship Id="rId60" Type="http://schemas.openxmlformats.org/officeDocument/2006/relationships/customXml" Target="../customXml/item2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grafico dinamico.xlsm]PowerPivot!Tabela dinâmica8</c:name>
    <c:fmtId val="0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PowerPivot!$C$3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PowerPivot!$B$4:$B$12</c:f>
              <c:strCache>
                <c:ptCount val="8"/>
                <c:pt idx="0">
                  <c:v>Abr</c:v>
                </c:pt>
                <c:pt idx="1">
                  <c:v>Ago</c:v>
                </c:pt>
                <c:pt idx="2">
                  <c:v>Fev</c:v>
                </c:pt>
                <c:pt idx="3">
                  <c:v>Jan</c:v>
                </c:pt>
                <c:pt idx="4">
                  <c:v>Jul</c:v>
                </c:pt>
                <c:pt idx="5">
                  <c:v>Jun</c:v>
                </c:pt>
                <c:pt idx="6">
                  <c:v>Mai</c:v>
                </c:pt>
                <c:pt idx="7">
                  <c:v>Mar</c:v>
                </c:pt>
              </c:strCache>
            </c:strRef>
          </c:cat>
          <c:val>
            <c:numRef>
              <c:f>PowerPivot!$C$4:$C$12</c:f>
              <c:numCache>
                <c:formatCode>_-[$R$-416]\ * #,##0.00_-;\-[$R$-416]\ * #,##0.00_-;_-[$R$-416]\ * "-"??_-;_-@_-</c:formatCode>
                <c:ptCount val="8"/>
                <c:pt idx="0">
                  <c:v>3651.0999999999995</c:v>
                </c:pt>
                <c:pt idx="1">
                  <c:v>6373.7</c:v>
                </c:pt>
                <c:pt idx="2">
                  <c:v>2974.9</c:v>
                </c:pt>
                <c:pt idx="3">
                  <c:v>1750.9</c:v>
                </c:pt>
                <c:pt idx="4">
                  <c:v>8602.0999999999985</c:v>
                </c:pt>
                <c:pt idx="5">
                  <c:v>3477.7000000000007</c:v>
                </c:pt>
                <c:pt idx="6">
                  <c:v>2776.2999999999997</c:v>
                </c:pt>
                <c:pt idx="7">
                  <c:v>3698.1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936-4AC1-A7A7-F3C9D00CD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090995792"/>
        <c:axId val="73055376"/>
      </c:barChart>
      <c:lineChart>
        <c:grouping val="standard"/>
        <c:varyColors val="0"/>
        <c:ser>
          <c:idx val="1"/>
          <c:order val="1"/>
          <c:tx>
            <c:strRef>
              <c:f>PowerPivot!$D$3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PowerPivot!$B$4:$B$12</c:f>
              <c:strCache>
                <c:ptCount val="8"/>
                <c:pt idx="0">
                  <c:v>Abr</c:v>
                </c:pt>
                <c:pt idx="1">
                  <c:v>Ago</c:v>
                </c:pt>
                <c:pt idx="2">
                  <c:v>Fev</c:v>
                </c:pt>
                <c:pt idx="3">
                  <c:v>Jan</c:v>
                </c:pt>
                <c:pt idx="4">
                  <c:v>Jul</c:v>
                </c:pt>
                <c:pt idx="5">
                  <c:v>Jun</c:v>
                </c:pt>
                <c:pt idx="6">
                  <c:v>Mai</c:v>
                </c:pt>
                <c:pt idx="7">
                  <c:v>Mar</c:v>
                </c:pt>
              </c:strCache>
            </c:strRef>
          </c:cat>
          <c:val>
            <c:numRef>
              <c:f>PowerPivot!$D$4:$D$12</c:f>
              <c:numCache>
                <c:formatCode>General</c:formatCode>
                <c:ptCount val="8"/>
                <c:pt idx="0">
                  <c:v>28</c:v>
                </c:pt>
                <c:pt idx="1">
                  <c:v>56</c:v>
                </c:pt>
                <c:pt idx="2">
                  <c:v>15</c:v>
                </c:pt>
                <c:pt idx="3">
                  <c:v>14</c:v>
                </c:pt>
                <c:pt idx="4">
                  <c:v>53</c:v>
                </c:pt>
                <c:pt idx="5">
                  <c:v>41</c:v>
                </c:pt>
                <c:pt idx="6">
                  <c:v>17</c:v>
                </c:pt>
                <c:pt idx="7">
                  <c:v>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936-4AC1-A7A7-F3C9D00CD3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092255136"/>
        <c:axId val="689134544"/>
      </c:lineChart>
      <c:catAx>
        <c:axId val="109099579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3055376"/>
        <c:crosses val="autoZero"/>
        <c:auto val="1"/>
        <c:lblAlgn val="ctr"/>
        <c:lblOffset val="100"/>
        <c:noMultiLvlLbl val="0"/>
      </c:catAx>
      <c:valAx>
        <c:axId val="730553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0995792"/>
        <c:crosses val="autoZero"/>
        <c:crossBetween val="between"/>
      </c:valAx>
      <c:valAx>
        <c:axId val="689134544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092255136"/>
        <c:crosses val="max"/>
        <c:crossBetween val="between"/>
      </c:valAx>
      <c:catAx>
        <c:axId val="1092255136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8913454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grafico dinamico.xlsm]DN_Vendas_Hist!Tabela dinâmica3</c:name>
    <c:fmtId val="3"/>
  </c:pivotSource>
  <c:chart>
    <c:autoTitleDeleted val="1"/>
    <c:pivotFmts>
      <c:pivotFmt>
        <c:idx val="0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circle"/>
          <c:size val="6"/>
          <c:spPr>
            <a:solidFill>
              <a:schemeClr val="accent1">
                <a:alpha val="85000"/>
              </a:schemeClr>
            </a:solidFill>
            <a:ln>
              <a:noFill/>
            </a:ln>
            <a:effectLst/>
          </c:spPr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DN_Vendas_Hist!$B$3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DN_Vendas_Hist!$A$4:$A$9</c:f>
              <c:strCache>
                <c:ptCount val="5"/>
                <c:pt idx="0">
                  <c:v>Clara</c:v>
                </c:pt>
                <c:pt idx="1">
                  <c:v>João</c:v>
                </c:pt>
                <c:pt idx="2">
                  <c:v>Amanda</c:v>
                </c:pt>
                <c:pt idx="3">
                  <c:v>Sarah</c:v>
                </c:pt>
                <c:pt idx="4">
                  <c:v>Bruno</c:v>
                </c:pt>
              </c:strCache>
            </c:strRef>
          </c:cat>
          <c:val>
            <c:numRef>
              <c:f>DN_Vendas_Hist!$B$4:$B$9</c:f>
              <c:numCache>
                <c:formatCode>_-[$R$-416]\ * #,##0.00_-;\-[$R$-416]\ * #,##0.00_-;_-[$R$-416]\ * "-"??_-;_-@_-</c:formatCode>
                <c:ptCount val="5"/>
                <c:pt idx="0">
                  <c:v>36204.6</c:v>
                </c:pt>
                <c:pt idx="1">
                  <c:v>36468.6</c:v>
                </c:pt>
                <c:pt idx="2">
                  <c:v>37864</c:v>
                </c:pt>
                <c:pt idx="3">
                  <c:v>47690</c:v>
                </c:pt>
                <c:pt idx="4">
                  <c:v>49213.9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EA4-402E-95D7-BFD78773739D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1709095087"/>
        <c:axId val="1709097487"/>
      </c:barChart>
      <c:catAx>
        <c:axId val="1709095087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9097487"/>
        <c:crosses val="autoZero"/>
        <c:auto val="1"/>
        <c:lblAlgn val="ctr"/>
        <c:lblOffset val="100"/>
        <c:noMultiLvlLbl val="0"/>
      </c:catAx>
      <c:valAx>
        <c:axId val="1709097487"/>
        <c:scaling>
          <c:orientation val="minMax"/>
        </c:scaling>
        <c:delete val="1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crossAx val="1709095087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DN_Vendas_Hist!$F$4</c:f>
              <c:strCache>
                <c:ptCount val="1"/>
                <c:pt idx="0">
                  <c:v>Acessórios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FA2B-4633-81A6-ADFB7568E331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FA2B-4633-81A6-ADFB7568E331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DN_Vendas_Hist!$G$4:$H$4</c:f>
              <c:numCache>
                <c:formatCode>General</c:formatCode>
                <c:ptCount val="2"/>
                <c:pt idx="0">
                  <c:v>31476.5</c:v>
                </c:pt>
                <c:pt idx="1">
                  <c:v>175964.6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FA2B-4633-81A6-ADFB7568E331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DN_Vendas_Hist!$F$5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6354-43DE-B962-BEF005DDD404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6354-43DE-B962-BEF005DDD404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DN_Vendas_Hist!$G$5:$H$5</c:f>
              <c:numCache>
                <c:formatCode>General</c:formatCode>
                <c:ptCount val="2"/>
                <c:pt idx="0">
                  <c:v>40859.4</c:v>
                </c:pt>
                <c:pt idx="1">
                  <c:v>166581.70000000001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6354-43DE-B962-BEF005DDD404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DN_Vendas_Hist!$F$6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A8B-4803-97CA-B9F84F022D40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A8B-4803-97CA-B9F84F022D40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DN_Vendas_Hist!$G$6:$H$6</c:f>
              <c:numCache>
                <c:formatCode>General</c:formatCode>
                <c:ptCount val="2"/>
                <c:pt idx="0">
                  <c:v>135105.20000000001</c:v>
                </c:pt>
                <c:pt idx="1">
                  <c:v>72335.899999999994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A8B-4803-97CA-B9F84F022D40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grafico dinamico.xlsm]DN_Vendas_Hist!Tabela dinâmica9</c:name>
    <c:fmtId val="1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DN_Vendas_Hist!$B$12</c:f>
              <c:strCache>
                <c:ptCount val="1"/>
                <c:pt idx="0">
                  <c:v>Soma de Total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DN_Vendas_Hist!$A$13:$A$25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DN_Vendas_Hist!$B$13:$B$25</c:f>
              <c:numCache>
                <c:formatCode>_-[$R$-416]\ * #,##0.00_-;\-[$R$-416]\ * #,##0.00_-;_-[$R$-416]\ * "-"??_-;_-@_-</c:formatCode>
                <c:ptCount val="12"/>
                <c:pt idx="0">
                  <c:v>27065.5</c:v>
                </c:pt>
                <c:pt idx="1">
                  <c:v>7502.6</c:v>
                </c:pt>
                <c:pt idx="2">
                  <c:v>7197.4</c:v>
                </c:pt>
                <c:pt idx="3">
                  <c:v>17379.8</c:v>
                </c:pt>
                <c:pt idx="4">
                  <c:v>20685.5</c:v>
                </c:pt>
                <c:pt idx="5">
                  <c:v>22586.3</c:v>
                </c:pt>
                <c:pt idx="6">
                  <c:v>18730.099999999999</c:v>
                </c:pt>
                <c:pt idx="7">
                  <c:v>21585.8</c:v>
                </c:pt>
                <c:pt idx="8">
                  <c:v>19851</c:v>
                </c:pt>
                <c:pt idx="9">
                  <c:v>15659.4</c:v>
                </c:pt>
                <c:pt idx="10">
                  <c:v>9455.2000000000007</c:v>
                </c:pt>
                <c:pt idx="11">
                  <c:v>19742.5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69-4394-9FBF-AF03AA36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709631295"/>
        <c:axId val="1709628895"/>
      </c:barChart>
      <c:lineChart>
        <c:grouping val="standard"/>
        <c:varyColors val="0"/>
        <c:ser>
          <c:idx val="1"/>
          <c:order val="1"/>
          <c:tx>
            <c:strRef>
              <c:f>DN_Vendas_Hist!$C$12</c:f>
              <c:strCache>
                <c:ptCount val="1"/>
                <c:pt idx="0">
                  <c:v>Soma de Qtd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DN_Vendas_Hist!$A$13:$A$25</c:f>
              <c:strCache>
                <c:ptCount val="12"/>
                <c:pt idx="0">
                  <c:v>jan</c:v>
                </c:pt>
                <c:pt idx="1">
                  <c:v>fev</c:v>
                </c:pt>
                <c:pt idx="2">
                  <c:v>mar</c:v>
                </c:pt>
                <c:pt idx="3">
                  <c:v>abr</c:v>
                </c:pt>
                <c:pt idx="4">
                  <c:v>mai</c:v>
                </c:pt>
                <c:pt idx="5">
                  <c:v>jun</c:v>
                </c:pt>
                <c:pt idx="6">
                  <c:v>jul</c:v>
                </c:pt>
                <c:pt idx="7">
                  <c:v>ago</c:v>
                </c:pt>
                <c:pt idx="8">
                  <c:v>set</c:v>
                </c:pt>
                <c:pt idx="9">
                  <c:v>out</c:v>
                </c:pt>
                <c:pt idx="10">
                  <c:v>nov</c:v>
                </c:pt>
                <c:pt idx="11">
                  <c:v>dez</c:v>
                </c:pt>
              </c:strCache>
            </c:strRef>
          </c:cat>
          <c:val>
            <c:numRef>
              <c:f>DN_Vendas_Hist!$C$13:$C$25</c:f>
              <c:numCache>
                <c:formatCode>General</c:formatCode>
                <c:ptCount val="12"/>
                <c:pt idx="0">
                  <c:v>154</c:v>
                </c:pt>
                <c:pt idx="1">
                  <c:v>83</c:v>
                </c:pt>
                <c:pt idx="2">
                  <c:v>114</c:v>
                </c:pt>
                <c:pt idx="3">
                  <c:v>146</c:v>
                </c:pt>
                <c:pt idx="4">
                  <c:v>114</c:v>
                </c:pt>
                <c:pt idx="5">
                  <c:v>185</c:v>
                </c:pt>
                <c:pt idx="6">
                  <c:v>133</c:v>
                </c:pt>
                <c:pt idx="7">
                  <c:v>147</c:v>
                </c:pt>
                <c:pt idx="8">
                  <c:v>151</c:v>
                </c:pt>
                <c:pt idx="9">
                  <c:v>151</c:v>
                </c:pt>
                <c:pt idx="10">
                  <c:v>92</c:v>
                </c:pt>
                <c:pt idx="11">
                  <c:v>129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69-4394-9FBF-AF03AA366B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709625055"/>
        <c:axId val="1709626015"/>
      </c:lineChart>
      <c:catAx>
        <c:axId val="1709631295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9628895"/>
        <c:crosses val="autoZero"/>
        <c:auto val="1"/>
        <c:lblAlgn val="ctr"/>
        <c:lblOffset val="100"/>
        <c:noMultiLvlLbl val="0"/>
      </c:catAx>
      <c:valAx>
        <c:axId val="170962889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9631295"/>
        <c:crosses val="autoZero"/>
        <c:crossBetween val="between"/>
      </c:valAx>
      <c:valAx>
        <c:axId val="1709626015"/>
        <c:scaling>
          <c:orientation val="minMax"/>
        </c:scaling>
        <c:delete val="0"/>
        <c:axPos val="r"/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709625055"/>
        <c:crosses val="max"/>
        <c:crossBetween val="between"/>
      </c:valAx>
      <c:catAx>
        <c:axId val="1709625055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709626015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grafico dinamico.xlsm]DN_Vendas!TBDN_Vendas</c:name>
    <c:fmtId val="6"/>
  </c:pivotSource>
  <c:chart>
    <c:autoTitleDeleted val="0"/>
    <c:pivotFmts>
      <c:pivotFmt>
        <c:idx val="0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/>
          </a:solidFill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2"/>
        <c:spPr>
          <a:solidFill>
            <a:schemeClr val="accent1"/>
          </a:solidFill>
          <a:ln>
            <a:noFill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3"/>
        <c:spPr>
          <a:ln w="28575" cap="rnd">
            <a:solidFill>
              <a:schemeClr val="accent1"/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0" i="0" u="none" strike="noStrike" kern="1200" baseline="0">
                  <a:solidFill>
                    <a:schemeClr val="tx1">
                      <a:lumMod val="75000"/>
                      <a:lumOff val="2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DN_Vendas!$B$3</c:f>
              <c:strCache>
                <c:ptCount val="1"/>
                <c:pt idx="0">
                  <c:v>Soma de Qtd</c:v>
                </c:pt>
              </c:strCache>
            </c:strRef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DN_Vendas!$A$4:$A$12</c:f>
              <c:strCache>
                <c:ptCount val="8"/>
                <c:pt idx="0">
                  <c:v>Abr</c:v>
                </c:pt>
                <c:pt idx="1">
                  <c:v>Ago</c:v>
                </c:pt>
                <c:pt idx="2">
                  <c:v>Fev</c:v>
                </c:pt>
                <c:pt idx="3">
                  <c:v>Jan</c:v>
                </c:pt>
                <c:pt idx="4">
                  <c:v>Jul</c:v>
                </c:pt>
                <c:pt idx="5">
                  <c:v>Jun</c:v>
                </c:pt>
                <c:pt idx="6">
                  <c:v>Mai</c:v>
                </c:pt>
                <c:pt idx="7">
                  <c:v>Mar</c:v>
                </c:pt>
              </c:strCache>
            </c:strRef>
          </c:cat>
          <c:val>
            <c:numRef>
              <c:f>DN_Vendas!$B$4:$B$12</c:f>
              <c:numCache>
                <c:formatCode>General</c:formatCode>
                <c:ptCount val="8"/>
                <c:pt idx="0">
                  <c:v>28</c:v>
                </c:pt>
                <c:pt idx="1">
                  <c:v>56</c:v>
                </c:pt>
                <c:pt idx="2">
                  <c:v>15</c:v>
                </c:pt>
                <c:pt idx="3">
                  <c:v>14</c:v>
                </c:pt>
                <c:pt idx="4">
                  <c:v>53</c:v>
                </c:pt>
                <c:pt idx="5">
                  <c:v>41</c:v>
                </c:pt>
                <c:pt idx="6">
                  <c:v>17</c:v>
                </c:pt>
                <c:pt idx="7">
                  <c:v>26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603-4D9B-9BD2-D8D298587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75148032"/>
        <c:axId val="1489166528"/>
      </c:barChart>
      <c:lineChart>
        <c:grouping val="standard"/>
        <c:varyColors val="0"/>
        <c:ser>
          <c:idx val="1"/>
          <c:order val="1"/>
          <c:tx>
            <c:strRef>
              <c:f>DN_Vendas!$C$3</c:f>
              <c:strCache>
                <c:ptCount val="1"/>
                <c:pt idx="0">
                  <c:v>Soma de Total</c:v>
                </c:pt>
              </c:strCache>
            </c:strRef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strRef>
              <c:f>DN_Vendas!$A$4:$A$12</c:f>
              <c:strCache>
                <c:ptCount val="8"/>
                <c:pt idx="0">
                  <c:v>Abr</c:v>
                </c:pt>
                <c:pt idx="1">
                  <c:v>Ago</c:v>
                </c:pt>
                <c:pt idx="2">
                  <c:v>Fev</c:v>
                </c:pt>
                <c:pt idx="3">
                  <c:v>Jan</c:v>
                </c:pt>
                <c:pt idx="4">
                  <c:v>Jul</c:v>
                </c:pt>
                <c:pt idx="5">
                  <c:v>Jun</c:v>
                </c:pt>
                <c:pt idx="6">
                  <c:v>Mai</c:v>
                </c:pt>
                <c:pt idx="7">
                  <c:v>Mar</c:v>
                </c:pt>
              </c:strCache>
            </c:strRef>
          </c:cat>
          <c:val>
            <c:numRef>
              <c:f>DN_Vendas!$C$4:$C$12</c:f>
              <c:numCache>
                <c:formatCode>_-[$R$-416]\ * #,##0.00_-;\-[$R$-416]\ * #,##0.00_-;_-[$R$-416]\ * "-"??_-;_-@_-</c:formatCode>
                <c:ptCount val="8"/>
                <c:pt idx="0">
                  <c:v>3651.0999999999995</c:v>
                </c:pt>
                <c:pt idx="1">
                  <c:v>6373.7</c:v>
                </c:pt>
                <c:pt idx="2">
                  <c:v>2974.9</c:v>
                </c:pt>
                <c:pt idx="3">
                  <c:v>1750.9</c:v>
                </c:pt>
                <c:pt idx="4">
                  <c:v>8602.0999999999985</c:v>
                </c:pt>
                <c:pt idx="5">
                  <c:v>3477.7000000000007</c:v>
                </c:pt>
                <c:pt idx="6">
                  <c:v>2776.2999999999997</c:v>
                </c:pt>
                <c:pt idx="7">
                  <c:v>3698.1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603-4D9B-9BD2-D8D298587A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1489165568"/>
        <c:axId val="1489165088"/>
      </c:lineChart>
      <c:catAx>
        <c:axId val="75148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166528"/>
        <c:crosses val="autoZero"/>
        <c:auto val="1"/>
        <c:lblAlgn val="ctr"/>
        <c:lblOffset val="100"/>
        <c:noMultiLvlLbl val="0"/>
      </c:catAx>
      <c:valAx>
        <c:axId val="14891665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75148032"/>
        <c:crosses val="autoZero"/>
        <c:crossBetween val="between"/>
      </c:valAx>
      <c:valAx>
        <c:axId val="1489165088"/>
        <c:scaling>
          <c:orientation val="minMax"/>
        </c:scaling>
        <c:delete val="0"/>
        <c:axPos val="r"/>
        <c:numFmt formatCode="_-[$R$-416]\ * #,##0.00_-;\-[$R$-416]\ * #,##0.00_-;_-[$R$-416]\ * &quot;-&quot;??_-;_-@_-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489165568"/>
        <c:crosses val="max"/>
        <c:crossBetween val="between"/>
      </c:valAx>
      <c:catAx>
        <c:axId val="1489165568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1489165088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r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  <c14:dropZoneSeries val="1"/>
        <c14:dropZonesVisible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pivotSource>
    <c:name>[Meteora Ecommerce - grafico dinamico.xlsm]DN_Vendedores!Tabela dinâmica9</c:name>
    <c:fmtId val="2"/>
  </c:pivotSource>
  <c:chart>
    <c:autoTitleDeleted val="1"/>
    <c:pivotFmts>
      <c:pivotFmt>
        <c:idx val="0"/>
        <c:dLbl>
          <c:idx val="0"/>
          <c:showLegendKey val="0"/>
          <c:showVal val="0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  <c:pivotFmt>
        <c:idx val="1"/>
        <c:spPr>
          <a:solidFill>
            <a:schemeClr val="accent1">
              <a:alpha val="85000"/>
            </a:schemeClr>
          </a:solidFill>
          <a:ln w="9525" cap="flat" cmpd="sng" algn="ctr">
            <a:solidFill>
              <a:schemeClr val="lt1">
                <a:alpha val="50000"/>
              </a:schemeClr>
            </a:solidFill>
            <a:round/>
          </a:ln>
          <a:effectLst/>
        </c:spPr>
        <c:marker>
          <c:symbol val="none"/>
        </c:marker>
        <c:dLbl>
          <c:idx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lIns="38100" tIns="19050" rIns="38100" bIns="19050" anchor="ctr" anchorCtr="1">
              <a:spAutoFit/>
            </a:bodyPr>
            <a:lstStyle/>
            <a:p>
              <a:pPr>
                <a:defRPr sz="900" b="1" i="0" u="none" strike="noStrike" kern="1200" baseline="0">
                  <a:solidFill>
                    <a:schemeClr val="lt1"/>
                  </a:solidFill>
                  <a:latin typeface="+mn-lt"/>
                  <a:ea typeface="+mn-ea"/>
                  <a:cs typeface="+mn-cs"/>
                </a:defRPr>
              </a:pPr>
              <a:endParaRPr lang="pt-BR"/>
            </a:p>
          </c:txPr>
          <c:dLblPos val="inEnd"/>
          <c:showLegendKey val="0"/>
          <c:showVal val="1"/>
          <c:showCatName val="0"/>
          <c:showSerName val="0"/>
          <c:showPercent val="0"/>
          <c:showBubbleSize val="0"/>
          <c:extLst>
            <c:ext xmlns:c15="http://schemas.microsoft.com/office/drawing/2012/chart" uri="{CE6537A1-D6FC-4f65-9D91-7224C49458BB}"/>
          </c:extLst>
        </c:dLbl>
      </c:pivotFmt>
    </c:pivotFmts>
    <c:plotArea>
      <c:layout/>
      <c:barChart>
        <c:barDir val="bar"/>
        <c:grouping val="clustered"/>
        <c:varyColors val="0"/>
        <c:ser>
          <c:idx val="0"/>
          <c:order val="0"/>
          <c:tx>
            <c:strRef>
              <c:f>DN_Vendedores!$B$3</c:f>
              <c:strCache>
                <c:ptCount val="1"/>
                <c:pt idx="0">
                  <c:v>Total</c:v>
                </c:pt>
              </c:strCache>
            </c:strRef>
          </c:tx>
          <c:spPr>
            <a:solidFill>
              <a:schemeClr val="accent1">
                <a:alpha val="85000"/>
              </a:schemeClr>
            </a:solidFill>
            <a:ln w="9525" cap="flat" cmpd="sng" algn="ctr">
              <a:solidFill>
                <a:schemeClr val="lt1">
                  <a:alpha val="50000"/>
                </a:schemeClr>
              </a:solidFill>
              <a:round/>
            </a:ln>
            <a:effectLst/>
          </c:spPr>
          <c:invertIfNegative val="0"/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9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dLblPos val="inEnd"/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dk1">
                          <a:lumMod val="50000"/>
                          <a:lumOff val="50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strRef>
              <c:f>DN_Vendedores!$A$4:$A$9</c:f>
              <c:strCache>
                <c:ptCount val="5"/>
                <c:pt idx="0">
                  <c:v>Clara</c:v>
                </c:pt>
                <c:pt idx="1">
                  <c:v>Bruno</c:v>
                </c:pt>
                <c:pt idx="2">
                  <c:v>Amanda</c:v>
                </c:pt>
                <c:pt idx="3">
                  <c:v>Sarah</c:v>
                </c:pt>
                <c:pt idx="4">
                  <c:v>João</c:v>
                </c:pt>
              </c:strCache>
            </c:strRef>
          </c:cat>
          <c:val>
            <c:numRef>
              <c:f>DN_Vendedores!$B$4:$B$9</c:f>
              <c:numCache>
                <c:formatCode>_-[$R$-416]\ * #,##0.00_-;\-[$R$-416]\ * #,##0.00_-;_-[$R$-416]\ * "-"??_-;_-@_-</c:formatCode>
                <c:ptCount val="5"/>
                <c:pt idx="0">
                  <c:v>3259.7000000000003</c:v>
                </c:pt>
                <c:pt idx="1">
                  <c:v>6552.6</c:v>
                </c:pt>
                <c:pt idx="2">
                  <c:v>6811.2</c:v>
                </c:pt>
                <c:pt idx="3">
                  <c:v>8079.7</c:v>
                </c:pt>
                <c:pt idx="4">
                  <c:v>8601.5999999999985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67E-4044-BBEB-7E0A84F79A75}"/>
            </c:ext>
          </c:extLst>
        </c:ser>
        <c:dLbls>
          <c:dLblPos val="inEnd"/>
          <c:showLegendKey val="0"/>
          <c:showVal val="1"/>
          <c:showCatName val="0"/>
          <c:showSerName val="0"/>
          <c:showPercent val="0"/>
          <c:showBubbleSize val="0"/>
        </c:dLbls>
        <c:gapWidth val="65"/>
        <c:axId val="699209008"/>
        <c:axId val="379563344"/>
      </c:barChart>
      <c:catAx>
        <c:axId val="69920900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19050" cap="flat" cmpd="sng" algn="ctr">
            <a:solidFill>
              <a:schemeClr val="dk1">
                <a:lumMod val="75000"/>
                <a:lumOff val="2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cap="all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379563344"/>
        <c:crosses val="autoZero"/>
        <c:auto val="1"/>
        <c:lblAlgn val="ctr"/>
        <c:lblOffset val="100"/>
        <c:noMultiLvlLbl val="0"/>
      </c:catAx>
      <c:valAx>
        <c:axId val="379563344"/>
        <c:scaling>
          <c:orientation val="minMax"/>
        </c:scaling>
        <c:delete val="0"/>
        <c:axPos val="b"/>
        <c:majorGridlines>
          <c:spPr>
            <a:ln w="9525" cap="flat" cmpd="sng" algn="ctr">
              <a:gradFill>
                <a:gsLst>
                  <a:gs pos="100000">
                    <a:schemeClr val="dk1">
                      <a:lumMod val="95000"/>
                      <a:lumOff val="5000"/>
                      <a:alpha val="42000"/>
                    </a:schemeClr>
                  </a:gs>
                  <a:gs pos="0">
                    <a:schemeClr val="lt1">
                      <a:lumMod val="75000"/>
                      <a:alpha val="36000"/>
                    </a:schemeClr>
                  </a:gs>
                </a:gsLst>
                <a:lin ang="5400000" scaled="0"/>
              </a:gradFill>
              <a:round/>
            </a:ln>
            <a:effectLst/>
          </c:spPr>
        </c:majorGridlines>
        <c:numFmt formatCode="_-[$R$-416]\ * #,##0.00_-;\-[$R$-416]\ * #,##0.00_-;_-[$R$-416]\ * &quot;-&quot;??_-;_-@_-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dk1">
                    <a:lumMod val="75000"/>
                    <a:lumOff val="2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69920900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  <c:extLst>
    <c:ext xmlns:c14="http://schemas.microsoft.com/office/drawing/2007/8/2/chart" uri="{781A3756-C4B2-4CAC-9D66-4F8BD8637D16}">
      <c14:pivotOptions>
        <c14:dropZoneFilter val="1"/>
        <c14:dropZoneCategories val="1"/>
        <c14:dropZoneData val="1"/>
      </c14:pivotOptions>
    </c:ext>
    <c:ext xmlns:c16="http://schemas.microsoft.com/office/drawing/2014/chart" uri="{E28EC0CA-F0BB-4C9C-879D-F8772B89E7AC}">
      <c16:pivotOptions16>
        <c16:showExpandCollapseFieldButtons val="1"/>
      </c16:pivotOptions16>
    </c:ext>
  </c:extLst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DN_Vendas!$E$15</c:f>
              <c:strCache>
                <c:ptCount val="1"/>
                <c:pt idx="0">
                  <c:v>Acessórios</c:v>
                </c:pt>
              </c:strCache>
            </c:strRef>
          </c:tx>
          <c:explosion val="1"/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9358-4D7D-9AD4-DFE4B6F9BA13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9358-4D7D-9AD4-DFE4B6F9BA13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DN_Vendas!$F$15:$G$15</c:f>
              <c:numCache>
                <c:formatCode>0%</c:formatCode>
                <c:ptCount val="2"/>
                <c:pt idx="0">
                  <c:v>0.15879092503182729</c:v>
                </c:pt>
                <c:pt idx="1">
                  <c:v>0.84120907496817265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9358-4D7D-9AD4-DFE4B6F9BA13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DN_Vendas!$E$16</c:f>
              <c:strCache>
                <c:ptCount val="1"/>
                <c:pt idx="0">
                  <c:v>Calçado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35AF-4B78-869A-4C00D93C6C08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35AF-4B78-869A-4C00D93C6C08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DN_Vendas!$F$16:$G$16</c:f>
              <c:numCache>
                <c:formatCode>0%</c:formatCode>
                <c:ptCount val="2"/>
                <c:pt idx="0">
                  <c:v>0.10835675338089411</c:v>
                </c:pt>
                <c:pt idx="1">
                  <c:v>0.89164324661910588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35AF-4B78-869A-4C00D93C6C08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baseline="0">
              <a:solidFill>
                <a:schemeClr val="dk1">
                  <a:lumMod val="75000"/>
                  <a:lumOff val="2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doughnutChart>
        <c:varyColors val="1"/>
        <c:ser>
          <c:idx val="0"/>
          <c:order val="0"/>
          <c:tx>
            <c:strRef>
              <c:f>DN_Vendas!$E$17</c:f>
              <c:strCache>
                <c:ptCount val="1"/>
                <c:pt idx="0">
                  <c:v>Vestuário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1-18B6-40D4-AE4D-3C42ADDEFF1C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>
                <a:noFill/>
              </a:ln>
              <a:effectLst>
                <a:outerShdw blurRad="254000" sx="102000" sy="102000" algn="ctr" rotWithShape="0">
                  <a:prstClr val="black">
                    <a:alpha val="20000"/>
                  </a:prstClr>
                </a:outerShdw>
              </a:effectLst>
            </c:spPr>
            <c:extLst>
              <c:ext xmlns:c16="http://schemas.microsoft.com/office/drawing/2014/chart" uri="{C3380CC4-5D6E-409C-BE32-E72D297353CC}">
                <c16:uniqueId val="{00000003-18B6-40D4-AE4D-3C42ADDEFF1C}"/>
              </c:ext>
            </c:extLst>
          </c:dPt>
          <c:dLbls>
            <c:spPr>
              <a:pattFill prst="pct75">
                <a:fgClr>
                  <a:schemeClr val="dk1">
                    <a:lumMod val="75000"/>
                    <a:lumOff val="25000"/>
                  </a:schemeClr>
                </a:fgClr>
                <a:bgClr>
                  <a:schemeClr val="dk1">
                    <a:lumMod val="65000"/>
                    <a:lumOff val="35000"/>
                  </a:schemeClr>
                </a:bgClr>
              </a:pattFill>
              <a:ln>
                <a:noFill/>
              </a:ln>
              <a:effectLst>
                <a:outerShdw blurRad="50800" dist="38100" dir="2700000" algn="tl" rotWithShape="0">
                  <a:prstClr val="black">
                    <a:alpha val="40000"/>
                  </a:prstClr>
                </a:outerShdw>
              </a:effectLst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00" b="1" i="0" u="none" strike="noStrike" kern="1200" baseline="0">
                    <a:solidFill>
                      <a:schemeClr val="lt1"/>
                    </a:solidFill>
                    <a:latin typeface="+mn-lt"/>
                    <a:ea typeface="+mn-ea"/>
                    <a:cs typeface="+mn-cs"/>
                  </a:defRPr>
                </a:pPr>
                <a:endParaRPr lang="pt-BR"/>
              </a:p>
            </c:txPr>
            <c:showLegendKey val="0"/>
            <c:showVal val="0"/>
            <c:showCatName val="0"/>
            <c:showSerName val="0"/>
            <c:showPercent val="1"/>
            <c:showBubbleSize val="0"/>
            <c:showLeaderLines val="1"/>
            <c:leaderLines>
              <c:spPr>
                <a:ln w="9525">
                  <a:solidFill>
                    <a:schemeClr val="dk1">
                      <a:lumMod val="50000"/>
                      <a:lumOff val="50000"/>
                    </a:schemeClr>
                  </a:solidFill>
                </a:ln>
                <a:effectLst/>
              </c:spPr>
            </c:leaderLines>
            <c:extLst>
              <c:ext xmlns:c15="http://schemas.microsoft.com/office/drawing/2012/chart" uri="{CE6537A1-D6FC-4f65-9D91-7224C49458BB}"/>
            </c:extLst>
          </c:dLbls>
          <c:val>
            <c:numRef>
              <c:f>DN_Vendas!$F$17:$G$17</c:f>
              <c:numCache>
                <c:formatCode>0%</c:formatCode>
                <c:ptCount val="2"/>
                <c:pt idx="0">
                  <c:v>0.73285232158727887</c:v>
                </c:pt>
                <c:pt idx="1">
                  <c:v>0.26714767841272113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4-18B6-40D4-AE4D-3C42ADDEFF1C}"/>
            </c:ext>
          </c:extLst>
        </c:ser>
        <c:dLbls>
          <c:showLegendKey val="0"/>
          <c:showVal val="0"/>
          <c:showCatName val="0"/>
          <c:showSerName val="0"/>
          <c:showPercent val="1"/>
          <c:showBubbleSize val="0"/>
          <c:showLeaderLines val="1"/>
        </c:dLbls>
        <c:firstSliceAng val="0"/>
        <c:holeSize val="50"/>
      </c:doughnutChart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gradFill flip="none" rotWithShape="1">
      <a:gsLst>
        <a:gs pos="0">
          <a:schemeClr val="lt1"/>
        </a:gs>
        <a:gs pos="39000">
          <a:schemeClr val="lt1"/>
        </a:gs>
        <a:gs pos="100000">
          <a:schemeClr val="lt1">
            <a:lumMod val="75000"/>
          </a:schemeClr>
        </a:gs>
      </a:gsLst>
      <a:path path="circle">
        <a:fillToRect l="50000" t="-80000" r="50000" b="180000"/>
      </a:path>
      <a:tileRect/>
    </a:gradFill>
    <a:ln w="9525" cap="flat" cmpd="sng" algn="ctr">
      <a:solidFill>
        <a:schemeClr val="dk1">
          <a:lumMod val="25000"/>
          <a:lumOff val="7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3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4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5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6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18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defRPr sz="9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solidFill>
        <a:schemeClr val="dk1">
          <a:lumMod val="65000"/>
          <a:lumOff val="35000"/>
          <a:alpha val="75000"/>
        </a:schemeClr>
      </a:solidFill>
    </cs:spPr>
    <cs:defRPr sz="900" b="1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  <a:ln w="9525" cap="flat" cmpd="sng" algn="ctr">
        <a:solidFill>
          <a:schemeClr val="lt1">
            <a:alpha val="50000"/>
          </a:schemeClr>
        </a:solidFill>
        <a:round/>
      </a:ln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9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0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harts/style11.xml><?xml version="1.0" encoding="utf-8"?>
<cs:chartStyle xmlns:cs="http://schemas.microsoft.com/office/drawing/2012/chartStyle" xmlns:a="http://schemas.openxmlformats.org/drawingml/2006/main" id="253">
  <cs:axisTitle>
    <cs:lnRef idx="0"/>
    <cs:fillRef idx="0"/>
    <cs:effectRef idx="0"/>
    <cs:fontRef idx="minor">
      <a:schemeClr val="dk1">
        <a:lumMod val="75000"/>
        <a:lumOff val="25000"/>
      </a:schemeClr>
    </cs:fontRef>
    <cs:defRPr sz="900" b="1" kern="1200"/>
  </cs:axisTitle>
  <cs:categoryAxis>
    <cs:lnRef idx="0"/>
    <cs:fillRef idx="0"/>
    <cs:effectRef idx="0"/>
    <cs:fontRef idx="minor">
      <a:schemeClr val="dk1">
        <a:lumMod val="75000"/>
        <a:lumOff val="25000"/>
      </a:schemeClr>
    </cs:fontRef>
    <cs:spPr>
      <a:ln w="190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 cap="all" baseline="0"/>
  </cs:categoryAxis>
  <cs:chartArea>
    <cs:lnRef idx="0"/>
    <cs:fillRef idx="0"/>
    <cs:effectRef idx="0"/>
    <cs:fontRef idx="minor">
      <a:schemeClr val="dk1"/>
    </cs:fontRef>
    <cs:spPr>
      <a:gradFill flip="none" rotWithShape="1">
        <a:gsLst>
          <a:gs pos="0">
            <a:schemeClr val="lt1"/>
          </a:gs>
          <a:gs pos="39000">
            <a:schemeClr val="lt1"/>
          </a:gs>
          <a:gs pos="100000">
            <a:schemeClr val="lt1">
              <a:lumMod val="75000"/>
            </a:schemeClr>
          </a:gs>
        </a:gsLst>
        <a:path path="circle">
          <a:fillToRect l="50000" t="-80000" r="50000" b="180000"/>
        </a:path>
        <a:tileRect/>
      </a:gradFill>
      <a:ln w="9525" cap="flat" cmpd="sng" algn="ctr">
        <a:solidFill>
          <a:schemeClr val="dk1">
            <a:lumMod val="25000"/>
            <a:lumOff val="7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</cs:dataLabel>
  <cs:dataLabelCallout>
    <cs:lnRef idx="0"/>
    <cs:fillRef idx="0"/>
    <cs:effectRef idx="0"/>
    <cs:fontRef idx="minor">
      <a:schemeClr val="lt1"/>
    </cs:fontRef>
    <cs:spPr>
      <a:pattFill prst="pct75">
        <a:fgClr>
          <a:schemeClr val="dk1">
            <a:lumMod val="75000"/>
            <a:lumOff val="25000"/>
          </a:schemeClr>
        </a:fgClr>
        <a:bgClr>
          <a:schemeClr val="dk1">
            <a:lumMod val="65000"/>
            <a:lumOff val="35000"/>
          </a:schemeClr>
        </a:bgClr>
      </a:pattFill>
      <a:effectLst>
        <a:outerShdw blurRad="50800" dist="38100" dir="2700000" algn="tl" rotWithShape="0">
          <a:prstClr val="black">
            <a:alpha val="40000"/>
          </a:prstClr>
        </a:outerShdw>
      </a:effectLst>
    </cs:spPr>
    <cs:defRPr sz="1000" b="1" i="0" u="none" strike="noStrike" kern="1200" baseline="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>
  <cs:dataPoint3D>
    <cs:lnRef idx="0"/>
    <cs:fillRef idx="0">
      <cs:styleClr val="auto"/>
    </cs:fillRef>
    <cs:effectRef idx="0"/>
    <cs:fontRef idx="minor">
      <a:schemeClr val="dk1"/>
    </cs:fontRef>
    <cs:spPr>
      <a:solidFill>
        <a:schemeClr val="phClr"/>
      </a:solidFill>
      <a:effectLst>
        <a:outerShdw blurRad="254000" sx="102000" sy="102000" algn="ctr" rotWithShape="0">
          <a:prstClr val="black">
            <a:alpha val="20000"/>
          </a:prstClr>
        </a:outerShdw>
      </a:effectLst>
    </cs:spPr>
  </cs:dataPoint3D>
  <cs:dataPointLine>
    <cs:lnRef idx="0">
      <cs:styleClr val="auto"/>
    </cs:lnRef>
    <cs:fillRef idx="0"/>
    <cs:effectRef idx="0"/>
    <cs:fontRef idx="minor">
      <a:schemeClr val="dk1"/>
    </cs:fontRef>
    <cs:spPr>
      <a:ln w="31750" cap="rnd">
        <a:solidFill>
          <a:schemeClr val="phClr">
            <a:alpha val="85000"/>
          </a:schemeClr>
        </a:solidFill>
        <a:round/>
      </a:ln>
    </cs:spPr>
  </cs:dataPointLine>
  <cs:dataPointMarker>
    <cs:lnRef idx="0"/>
    <cs:fillRef idx="0">
      <cs:styleClr val="auto"/>
    </cs:fillRef>
    <cs:effectRef idx="0"/>
    <cs:fontRef idx="minor">
      <a:schemeClr val="dk1"/>
    </cs:fontRef>
    <cs:spPr>
      <a:solidFill>
        <a:schemeClr val="phClr">
          <a:alpha val="85000"/>
        </a:schemeClr>
      </a:solidFill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dk1">
        <a:lumMod val="75000"/>
        <a:lumOff val="25000"/>
      </a:schemeClr>
    </cs:fontRef>
    <cs:spPr>
      <a:ln w="9525">
        <a:solidFill>
          <a:schemeClr val="dk1">
            <a:lumMod val="35000"/>
            <a:lumOff val="6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50000"/>
          <a:lumOff val="50000"/>
        </a:schemeClr>
      </a:solidFill>
      <a:ln w="9525">
        <a:solidFill>
          <a:schemeClr val="dk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dk1"/>
    </cs:fontRef>
    <cs:spPr>
      <a:ln w="9525">
        <a:solidFill>
          <a:schemeClr val="dk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dk1"/>
    </cs:fontRef>
  </cs:floor>
  <cs:gridlineMajor>
    <cs:lnRef idx="0"/>
    <cs:fillRef idx="0"/>
    <cs:effectRef idx="0"/>
    <cs:fontRef idx="minor">
      <a:schemeClr val="dk1"/>
    </cs:fontRef>
    <cs:spPr>
      <a:ln w="9525" cap="flat" cmpd="sng" algn="ctr"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  <a:round/>
      </a:ln>
    </cs:spPr>
  </cs:gridlineMajor>
  <cs:gridlineMinor>
    <cs:lnRef idx="0"/>
    <cs:fillRef idx="0"/>
    <cs:effectRef idx="0"/>
    <cs:fontRef idx="minor">
      <a:schemeClr val="dk1"/>
    </cs:fontRef>
    <cs:spPr>
      <a:ln>
        <a:gradFill>
          <a:gsLst>
            <a:gs pos="100000">
              <a:schemeClr val="dk1">
                <a:lumMod val="95000"/>
                <a:lumOff val="5000"/>
                <a:alpha val="42000"/>
              </a:schemeClr>
            </a:gs>
            <a:gs pos="0">
              <a:schemeClr val="lt1">
                <a:lumMod val="75000"/>
                <a:alpha val="36000"/>
              </a:schemeClr>
            </a:gs>
          </a:gsLst>
          <a:lin ang="5400000" scaled="0"/>
        </a:gradFill>
      </a:ln>
    </cs:spPr>
  </cs:gridlineMinor>
  <cs:hiLo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35000"/>
            <a:lumOff val="65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</a:ln>
    </cs:spPr>
  </cs:leaderLine>
  <cs:legend>
    <cs:lnRef idx="0"/>
    <cs:fillRef idx="0"/>
    <cs:effectRef idx="0"/>
    <cs:fontRef idx="minor">
      <a:schemeClr val="dk1">
        <a:lumMod val="75000"/>
        <a:lumOff val="25000"/>
      </a:schemeClr>
    </cs:fontRef>
    <cs:spPr>
      <a:solidFill>
        <a:schemeClr val="lt1">
          <a:lumMod val="95000"/>
          <a:alpha val="39000"/>
        </a:schemeClr>
      </a:solidFill>
    </cs:spPr>
    <cs:defRPr sz="900" kern="1200"/>
  </cs:legend>
  <cs:plotArea>
    <cs:lnRef idx="0"/>
    <cs:fillRef idx="0"/>
    <cs:effectRef idx="0"/>
    <cs:fontRef idx="minor">
      <a:schemeClr val="dk1"/>
    </cs:fontRef>
  </cs:plotArea>
  <cs:plotArea3D>
    <cs:lnRef idx="0"/>
    <cs:fillRef idx="0"/>
    <cs:effectRef idx="0"/>
    <cs:fontRef idx="minor">
      <a:schemeClr val="dk1"/>
    </cs:fontRef>
  </cs:plotArea3D>
  <cs:seriesAxis>
    <cs:lnRef idx="0"/>
    <cs:fillRef idx="0"/>
    <cs:effectRef idx="0"/>
    <cs:fontRef idx="minor">
      <a:schemeClr val="dk1">
        <a:lumMod val="75000"/>
        <a:lumOff val="25000"/>
      </a:schemeClr>
    </cs:fontRef>
    <cs:spPr>
      <a:ln w="31750" cap="flat" cmpd="sng" algn="ctr">
        <a:solidFill>
          <a:schemeClr val="dk1">
            <a:lumMod val="75000"/>
            <a:lumOff val="2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dk1"/>
    </cs:fontRef>
    <cs:spPr>
      <a:ln w="9525">
        <a:solidFill>
          <a:schemeClr val="dk1">
            <a:lumMod val="50000"/>
            <a:lumOff val="50000"/>
          </a:schemeClr>
        </a:solidFill>
        <a:round/>
      </a:ln>
    </cs:spPr>
  </cs:seriesLine>
  <cs:title>
    <cs:lnRef idx="0"/>
    <cs:fillRef idx="0"/>
    <cs:effectRef idx="0"/>
    <cs:fontRef idx="minor">
      <a:schemeClr val="dk1">
        <a:lumMod val="75000"/>
        <a:lumOff val="25000"/>
      </a:schemeClr>
    </cs:fontRef>
    <cs:defRPr sz="1800" b="1" kern="1200" baseline="0"/>
  </cs:title>
  <cs:trendline>
    <cs:lnRef idx="0">
      <cs:styleClr val="auto"/>
    </cs:lnRef>
    <cs:fillRef idx="0"/>
    <cs:effectRef idx="0"/>
    <cs:fontRef idx="minor">
      <a:schemeClr val="dk1"/>
    </cs:fontRef>
    <cs:spPr>
      <a:ln w="19050" cap="rnd">
        <a:solidFill>
          <a:schemeClr val="phClr"/>
        </a:solidFill>
      </a:ln>
    </cs:spPr>
  </cs:trendline>
  <cs:trendlineLabel>
    <cs:lnRef idx="0"/>
    <cs:fillRef idx="0"/>
    <cs:effectRef idx="0"/>
    <cs:fontRef idx="minor">
      <a:schemeClr val="dk1">
        <a:lumMod val="75000"/>
        <a:lumOff val="2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dk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dk1">
        <a:lumMod val="75000"/>
        <a:lumOff val="25000"/>
      </a:schemeClr>
    </cs:fontRef>
    <cs:spPr>
      <a:ln>
        <a:noFill/>
      </a:ln>
    </cs:spPr>
    <cs:defRPr sz="900" kern="1200"/>
  </cs:valueAxis>
  <cs:wall>
    <cs:lnRef idx="0"/>
    <cs:fillRef idx="0"/>
    <cs:effectRef idx="0"/>
    <cs:fontRef idx="minor">
      <a:schemeClr val="dk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hyperlink" Target="#Produtos!A1"/><Relationship Id="rId2" Type="http://schemas.openxmlformats.org/officeDocument/2006/relationships/hyperlink" Target="#Vendas!A1"/><Relationship Id="rId1" Type="http://schemas.openxmlformats.org/officeDocument/2006/relationships/image" Target="../media/image1.png"/><Relationship Id="rId5" Type="http://schemas.openxmlformats.org/officeDocument/2006/relationships/hyperlink" Target="#Consultas!A1"/><Relationship Id="rId4" Type="http://schemas.openxmlformats.org/officeDocument/2006/relationships/hyperlink" Target="#Vendedores!A1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Vendedores!A1"/><Relationship Id="rId4" Type="http://schemas.openxmlformats.org/officeDocument/2006/relationships/hyperlink" Target="#Vendas!A1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as!A1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hyperlink" Target="#Consult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hyperlink" Target="#Vendas!A1"/><Relationship Id="rId2" Type="http://schemas.openxmlformats.org/officeDocument/2006/relationships/hyperlink" Target="#Menu!A1"/><Relationship Id="rId1" Type="http://schemas.openxmlformats.org/officeDocument/2006/relationships/image" Target="../media/image2.png"/><Relationship Id="rId5" Type="http://schemas.openxmlformats.org/officeDocument/2006/relationships/hyperlink" Target="#Produtos!A1"/><Relationship Id="rId4" Type="http://schemas.openxmlformats.org/officeDocument/2006/relationships/hyperlink" Target="#Vendedores!A1"/></Relationships>
</file>

<file path=xl/drawings/_rels/drawing10.xml.rels><?xml version="1.0" encoding="UTF-8" standalone="yes"?>
<Relationships xmlns="http://schemas.openxmlformats.org/package/2006/relationships"><Relationship Id="rId1" Type="http://schemas.openxmlformats.org/officeDocument/2006/relationships/image" Target="../media/image2.png"/></Relationships>
</file>

<file path=xl/drawings/_rels/drawing11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image" Target="../media/image3.png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4" Type="http://schemas.openxmlformats.org/officeDocument/2006/relationships/chart" Target="../charts/chart4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.xml"/><Relationship Id="rId2" Type="http://schemas.openxmlformats.org/officeDocument/2006/relationships/chart" Target="../charts/chart7.xml"/><Relationship Id="rId1" Type="http://schemas.openxmlformats.org/officeDocument/2006/relationships/image" Target="../media/image3.png"/><Relationship Id="rId6" Type="http://schemas.openxmlformats.org/officeDocument/2006/relationships/chart" Target="../charts/chart11.xml"/><Relationship Id="rId5" Type="http://schemas.openxmlformats.org/officeDocument/2006/relationships/chart" Target="../charts/chart10.xml"/><Relationship Id="rId4" Type="http://schemas.openxmlformats.org/officeDocument/2006/relationships/chart" Target="../charts/chart9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457200</xdr:colOff>
      <xdr:row>1</xdr:row>
      <xdr:rowOff>121920</xdr:rowOff>
    </xdr:from>
    <xdr:to>
      <xdr:col>9</xdr:col>
      <xdr:colOff>579120</xdr:colOff>
      <xdr:row>5</xdr:row>
      <xdr:rowOff>152409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A3DE8B45-09AB-055B-1B63-2260FE5D18D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0" y="304800"/>
          <a:ext cx="4998720" cy="762009"/>
        </a:xfrm>
        <a:prstGeom prst="rect">
          <a:avLst/>
        </a:prstGeom>
      </xdr:spPr>
    </xdr:pic>
    <xdr:clientData/>
  </xdr:twoCellAnchor>
  <xdr:twoCellAnchor>
    <xdr:from>
      <xdr:col>6</xdr:col>
      <xdr:colOff>206375</xdr:colOff>
      <xdr:row>7</xdr:row>
      <xdr:rowOff>177165</xdr:rowOff>
    </xdr:from>
    <xdr:to>
      <xdr:col>8</xdr:col>
      <xdr:colOff>347345</xdr:colOff>
      <xdr:row>10</xdr:row>
      <xdr:rowOff>146685</xdr:rowOff>
    </xdr:to>
    <xdr:sp macro="" textlink="">
      <xdr:nvSpPr>
        <xdr:cNvPr id="5" name="Retângulo: Cantos Arredondados 4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4E9D6B59-05D9-B03E-33FF-654DC865E65A}"/>
            </a:ext>
          </a:extLst>
        </xdr:cNvPr>
        <xdr:cNvSpPr/>
      </xdr:nvSpPr>
      <xdr:spPr>
        <a:xfrm>
          <a:off x="3749675" y="1510665"/>
          <a:ext cx="132207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Vendas</a:t>
          </a:r>
        </a:p>
      </xdr:txBody>
    </xdr:sp>
    <xdr:clientData/>
  </xdr:twoCellAnchor>
  <xdr:twoCellAnchor>
    <xdr:from>
      <xdr:col>1</xdr:col>
      <xdr:colOff>43815</xdr:colOff>
      <xdr:row>7</xdr:row>
      <xdr:rowOff>177165</xdr:rowOff>
    </xdr:from>
    <xdr:to>
      <xdr:col>3</xdr:col>
      <xdr:colOff>203835</xdr:colOff>
      <xdr:row>10</xdr:row>
      <xdr:rowOff>146685</xdr:rowOff>
    </xdr:to>
    <xdr:sp macro="" textlink="">
      <xdr:nvSpPr>
        <xdr:cNvPr id="7" name="Retângulo: Cantos Arredondados 6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9C8F6523-8DD6-8EA8-3868-7A382EBABA1C}"/>
            </a:ext>
          </a:extLst>
        </xdr:cNvPr>
        <xdr:cNvSpPr/>
      </xdr:nvSpPr>
      <xdr:spPr>
        <a:xfrm>
          <a:off x="634365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  <xdr:twoCellAnchor>
    <xdr:from>
      <xdr:col>3</xdr:col>
      <xdr:colOff>420370</xdr:colOff>
      <xdr:row>7</xdr:row>
      <xdr:rowOff>177165</xdr:rowOff>
    </xdr:from>
    <xdr:to>
      <xdr:col>5</xdr:col>
      <xdr:colOff>580390</xdr:colOff>
      <xdr:row>10</xdr:row>
      <xdr:rowOff>146685</xdr:rowOff>
    </xdr:to>
    <xdr:sp macro="" textlink="">
      <xdr:nvSpPr>
        <xdr:cNvPr id="9" name="Retângulo: Cantos Arredondados 8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55DBCBF-1552-7BEE-78FD-FBEFEF801194}"/>
            </a:ext>
          </a:extLst>
        </xdr:cNvPr>
        <xdr:cNvSpPr/>
      </xdr:nvSpPr>
      <xdr:spPr>
        <a:xfrm>
          <a:off x="219202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400" b="1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>
    <xdr:from>
      <xdr:col>8</xdr:col>
      <xdr:colOff>563880</xdr:colOff>
      <xdr:row>7</xdr:row>
      <xdr:rowOff>177165</xdr:rowOff>
    </xdr:from>
    <xdr:to>
      <xdr:col>11</xdr:col>
      <xdr:colOff>133350</xdr:colOff>
      <xdr:row>10</xdr:row>
      <xdr:rowOff>146685</xdr:rowOff>
    </xdr:to>
    <xdr:sp macro="" textlink="">
      <xdr:nvSpPr>
        <xdr:cNvPr id="11" name="Retângulo: Cantos Arredondados 10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81DF467C-2EA0-98A2-30B7-FDC407A177D5}"/>
            </a:ext>
          </a:extLst>
        </xdr:cNvPr>
        <xdr:cNvSpPr/>
      </xdr:nvSpPr>
      <xdr:spPr>
        <a:xfrm>
          <a:off x="5288280" y="1510665"/>
          <a:ext cx="1341120" cy="541020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marL="0" indent="0" algn="ctr"/>
          <a:r>
            <a:rPr lang="pt-BR" sz="1400" b="1">
              <a:solidFill>
                <a:srgbClr val="DAFF01"/>
              </a:solidFill>
              <a:latin typeface="MuseoModerno" pitchFamily="2" charset="0"/>
              <a:ea typeface="+mn-ea"/>
              <a:cs typeface="+mn-cs"/>
            </a:rPr>
            <a:t>Consultas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86361</xdr:colOff>
      <xdr:row>0</xdr:row>
      <xdr:rowOff>76201</xdr:rowOff>
    </xdr:from>
    <xdr:to>
      <xdr:col>0</xdr:col>
      <xdr:colOff>472440</xdr:colOff>
      <xdr:row>0</xdr:row>
      <xdr:rowOff>462280</xdr:rowOff>
    </xdr:to>
    <xdr:pic>
      <xdr:nvPicPr>
        <xdr:cNvPr id="24" name="Imagem 23">
          <a:extLst>
            <a:ext uri="{FF2B5EF4-FFF2-40B4-BE49-F238E27FC236}">
              <a16:creationId xmlns:a16="http://schemas.microsoft.com/office/drawing/2014/main" id="{BD4DE5D6-A5B5-406D-9CE1-F58B167B193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86361" y="76201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1304924</xdr:colOff>
      <xdr:row>0</xdr:row>
      <xdr:rowOff>100014</xdr:rowOff>
    </xdr:from>
    <xdr:to>
      <xdr:col>7</xdr:col>
      <xdr:colOff>464819</xdr:colOff>
      <xdr:row>0</xdr:row>
      <xdr:rowOff>414339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99A16521-3CF2-4B53-B0C2-257D770BDFBA}"/>
            </a:ext>
          </a:extLst>
        </xdr:cNvPr>
        <xdr:cNvSpPr/>
      </xdr:nvSpPr>
      <xdr:spPr>
        <a:xfrm>
          <a:off x="7553324" y="100014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5</xdr:col>
      <xdr:colOff>533400</xdr:colOff>
      <xdr:row>0</xdr:row>
      <xdr:rowOff>100014</xdr:rowOff>
    </xdr:from>
    <xdr:to>
      <xdr:col>6</xdr:col>
      <xdr:colOff>636270</xdr:colOff>
      <xdr:row>0</xdr:row>
      <xdr:rowOff>414339</xdr:rowOff>
    </xdr:to>
    <xdr:sp macro="" textlink="">
      <xdr:nvSpPr>
        <xdr:cNvPr id="3" name="Retângulo: Cantos Arredondados 2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714EE7B-96E6-4187-9F93-B47D5044F002}"/>
            </a:ext>
          </a:extLst>
        </xdr:cNvPr>
        <xdr:cNvSpPr/>
      </xdr:nvSpPr>
      <xdr:spPr>
        <a:xfrm>
          <a:off x="5905500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4</xdr:col>
      <xdr:colOff>604838</xdr:colOff>
      <xdr:row>0</xdr:row>
      <xdr:rowOff>100014</xdr:rowOff>
    </xdr:from>
    <xdr:to>
      <xdr:col>5</xdr:col>
      <xdr:colOff>441008</xdr:colOff>
      <xdr:row>0</xdr:row>
      <xdr:rowOff>414339</xdr:rowOff>
    </xdr:to>
    <xdr:sp macro="" textlink="">
      <xdr:nvSpPr>
        <xdr:cNvPr id="4" name="Retângulo: Cantos Arredondados 3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0DAC1AAC-274C-4CCA-A247-AA03B11D181B}"/>
            </a:ext>
          </a:extLst>
        </xdr:cNvPr>
        <xdr:cNvSpPr/>
      </xdr:nvSpPr>
      <xdr:spPr>
        <a:xfrm>
          <a:off x="4833938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3</xdr:col>
      <xdr:colOff>466725</xdr:colOff>
      <xdr:row>0</xdr:row>
      <xdr:rowOff>100014</xdr:rowOff>
    </xdr:from>
    <xdr:to>
      <xdr:col>4</xdr:col>
      <xdr:colOff>512445</xdr:colOff>
      <xdr:row>0</xdr:row>
      <xdr:rowOff>414339</xdr:rowOff>
    </xdr:to>
    <xdr:sp macro="" textlink="">
      <xdr:nvSpPr>
        <xdr:cNvPr id="5" name="Retângulo: Cantos Arredondados 4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C42098C0-66DE-4C93-8742-A1DDC837229B}"/>
            </a:ext>
          </a:extLst>
        </xdr:cNvPr>
        <xdr:cNvSpPr/>
      </xdr:nvSpPr>
      <xdr:spPr>
        <a:xfrm>
          <a:off x="3762375" y="100014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114300</xdr:colOff>
          <xdr:row>3</xdr:row>
          <xdr:rowOff>15240</xdr:rowOff>
        </xdr:from>
        <xdr:to>
          <xdr:col>7</xdr:col>
          <xdr:colOff>457200</xdr:colOff>
          <xdr:row>4</xdr:row>
          <xdr:rowOff>137160</xdr:rowOff>
        </xdr:to>
        <xdr:sp macro="" textlink="">
          <xdr:nvSpPr>
            <xdr:cNvPr id="13315" name="Button 3" hidden="1">
              <a:extLst>
                <a:ext uri="{63B3BB69-23CF-44E3-9099-C40C66FF867C}">
                  <a14:compatExt spid="_x0000_s13315"/>
                </a:ext>
                <a:ext uri="{FF2B5EF4-FFF2-40B4-BE49-F238E27FC236}">
                  <a16:creationId xmlns:a16="http://schemas.microsoft.com/office/drawing/2014/main" id="{00000000-0008-0000-0200-0000033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Filtrar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281940</xdr:colOff>
      <xdr:row>0</xdr:row>
      <xdr:rowOff>76200</xdr:rowOff>
    </xdr:from>
    <xdr:to>
      <xdr:col>0</xdr:col>
      <xdr:colOff>668019</xdr:colOff>
      <xdr:row>0</xdr:row>
      <xdr:rowOff>462279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6D4363A8-ECD7-4ED2-8B5E-4B8412B66B1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28194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6</xdr:col>
      <xdr:colOff>466724</xdr:colOff>
      <xdr:row>0</xdr:row>
      <xdr:rowOff>85725</xdr:rowOff>
    </xdr:from>
    <xdr:to>
      <xdr:col>7</xdr:col>
      <xdr:colOff>541019</xdr:colOff>
      <xdr:row>0</xdr:row>
      <xdr:rowOff>400050</xdr:rowOff>
    </xdr:to>
    <xdr:sp macro="" textlink="">
      <xdr:nvSpPr>
        <xdr:cNvPr id="3" name="Retângulo: Cantos Arredondados 2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F6F0C8CE-E1DD-46B0-9EC1-0DB234C25F94}"/>
            </a:ext>
          </a:extLst>
        </xdr:cNvPr>
        <xdr:cNvSpPr/>
      </xdr:nvSpPr>
      <xdr:spPr>
        <a:xfrm>
          <a:off x="769619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4</xdr:col>
      <xdr:colOff>38100</xdr:colOff>
      <xdr:row>0</xdr:row>
      <xdr:rowOff>85725</xdr:rowOff>
    </xdr:from>
    <xdr:to>
      <xdr:col>5</xdr:col>
      <xdr:colOff>407670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C2D492B7-9A40-45DF-8DD9-FF4B8AC4B805}"/>
            </a:ext>
          </a:extLst>
        </xdr:cNvPr>
        <xdr:cNvSpPr/>
      </xdr:nvSpPr>
      <xdr:spPr>
        <a:xfrm>
          <a:off x="604837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3</xdr:col>
      <xdr:colOff>442913</xdr:colOff>
      <xdr:row>0</xdr:row>
      <xdr:rowOff>85725</xdr:rowOff>
    </xdr:from>
    <xdr:to>
      <xdr:col>3</xdr:col>
      <xdr:colOff>1422083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1189A0F-6039-4D6D-9A86-B4FB82EB1AE6}"/>
            </a:ext>
          </a:extLst>
        </xdr:cNvPr>
        <xdr:cNvSpPr/>
      </xdr:nvSpPr>
      <xdr:spPr>
        <a:xfrm>
          <a:off x="497681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1085850</xdr:colOff>
      <xdr:row>0</xdr:row>
      <xdr:rowOff>85725</xdr:rowOff>
    </xdr:from>
    <xdr:to>
      <xdr:col>3</xdr:col>
      <xdr:colOff>350520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E510B14D-B133-4912-957D-08B56E453DEC}"/>
            </a:ext>
          </a:extLst>
        </xdr:cNvPr>
        <xdr:cNvSpPr/>
      </xdr:nvSpPr>
      <xdr:spPr>
        <a:xfrm>
          <a:off x="390525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144780</xdr:colOff>
      <xdr:row>0</xdr:row>
      <xdr:rowOff>76200</xdr:rowOff>
    </xdr:from>
    <xdr:to>
      <xdr:col>1</xdr:col>
      <xdr:colOff>530859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B412354E-AD1A-4804-A470-15E224356E1A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44780" y="7620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9</xdr:col>
      <xdr:colOff>600074</xdr:colOff>
      <xdr:row>0</xdr:row>
      <xdr:rowOff>85725</xdr:rowOff>
    </xdr:from>
    <xdr:to>
      <xdr:col>10</xdr:col>
      <xdr:colOff>221932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1B701B76-473A-4A55-AF0E-ECBD9BBE384C}"/>
            </a:ext>
          </a:extLst>
        </xdr:cNvPr>
        <xdr:cNvSpPr/>
      </xdr:nvSpPr>
      <xdr:spPr>
        <a:xfrm>
          <a:off x="77152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8</xdr:col>
      <xdr:colOff>19050</xdr:colOff>
      <xdr:row>0</xdr:row>
      <xdr:rowOff>85725</xdr:rowOff>
    </xdr:from>
    <xdr:to>
      <xdr:col>8</xdr:col>
      <xdr:colOff>998220</xdr:colOff>
      <xdr:row>0</xdr:row>
      <xdr:rowOff>400050</xdr:rowOff>
    </xdr:to>
    <xdr:sp macro="" textlink="">
      <xdr:nvSpPr>
        <xdr:cNvPr id="4" name="Retângulo: Cantos Arredondados 3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8C5575B6-61D4-49F3-9180-2CA2D567325C}"/>
            </a:ext>
          </a:extLst>
        </xdr:cNvPr>
        <xdr:cNvSpPr/>
      </xdr:nvSpPr>
      <xdr:spPr>
        <a:xfrm>
          <a:off x="60674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Consultas</a:t>
          </a:r>
        </a:p>
      </xdr:txBody>
    </xdr:sp>
    <xdr:clientData/>
  </xdr:twoCellAnchor>
  <xdr:twoCellAnchor editAs="absolute">
    <xdr:from>
      <xdr:col>6</xdr:col>
      <xdr:colOff>1069976</xdr:colOff>
      <xdr:row>0</xdr:row>
      <xdr:rowOff>85725</xdr:rowOff>
    </xdr:from>
    <xdr:to>
      <xdr:col>7</xdr:col>
      <xdr:colOff>802958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DF03579C-CAF6-4B7E-BEF7-4259D9774AFB}"/>
            </a:ext>
          </a:extLst>
        </xdr:cNvPr>
        <xdr:cNvSpPr/>
      </xdr:nvSpPr>
      <xdr:spPr>
        <a:xfrm>
          <a:off x="49958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5</xdr:col>
      <xdr:colOff>673100</xdr:colOff>
      <xdr:row>0</xdr:row>
      <xdr:rowOff>85725</xdr:rowOff>
    </xdr:from>
    <xdr:to>
      <xdr:col>6</xdr:col>
      <xdr:colOff>977583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72EDB1BC-9302-487C-8922-6F0622D6EF3B}"/>
            </a:ext>
          </a:extLst>
        </xdr:cNvPr>
        <xdr:cNvSpPr/>
      </xdr:nvSpPr>
      <xdr:spPr>
        <a:xfrm>
          <a:off x="39243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25</xdr:row>
      <xdr:rowOff>15240</xdr:rowOff>
    </xdr:from>
    <xdr:to>
      <xdr:col>3</xdr:col>
      <xdr:colOff>350520</xdr:colOff>
      <xdr:row>32</xdr:row>
      <xdr:rowOff>106680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10" name="Data 1">
              <a:extLst>
                <a:ext uri="{FF2B5EF4-FFF2-40B4-BE49-F238E27FC236}">
                  <a16:creationId xmlns:a16="http://schemas.microsoft.com/office/drawing/2014/main" id="{9016ACA1-2E7B-ACB9-02BF-C4E7F1267E51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0" y="4587240"/>
              <a:ext cx="3337560" cy="137160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106680</xdr:colOff>
      <xdr:row>0</xdr:row>
      <xdr:rowOff>68580</xdr:rowOff>
    </xdr:from>
    <xdr:to>
      <xdr:col>0</xdr:col>
      <xdr:colOff>492759</xdr:colOff>
      <xdr:row>0</xdr:row>
      <xdr:rowOff>454659</xdr:rowOff>
    </xdr:to>
    <xdr:pic>
      <xdr:nvPicPr>
        <xdr:cNvPr id="4" name="Imagem 3">
          <a:extLst>
            <a:ext uri="{FF2B5EF4-FFF2-40B4-BE49-F238E27FC236}">
              <a16:creationId xmlns:a16="http://schemas.microsoft.com/office/drawing/2014/main" id="{9456271F-9F53-4B55-9E8A-E9E2FC35BDDD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106680" y="68580"/>
          <a:ext cx="386079" cy="386079"/>
        </a:xfrm>
        <a:prstGeom prst="rect">
          <a:avLst/>
        </a:prstGeom>
      </xdr:spPr>
    </xdr:pic>
    <xdr:clientData/>
  </xdr:twoCellAnchor>
  <xdr:twoCellAnchor editAs="absolute">
    <xdr:from>
      <xdr:col>4</xdr:col>
      <xdr:colOff>1019174</xdr:colOff>
      <xdr:row>0</xdr:row>
      <xdr:rowOff>85725</xdr:rowOff>
    </xdr:from>
    <xdr:to>
      <xdr:col>5</xdr:col>
      <xdr:colOff>245744</xdr:colOff>
      <xdr:row>0</xdr:row>
      <xdr:rowOff>400050</xdr:rowOff>
    </xdr:to>
    <xdr:sp macro="" textlink="">
      <xdr:nvSpPr>
        <xdr:cNvPr id="2" name="Retângulo: Cantos Arredondados 1">
          <a:hlinkClick xmlns:r="http://schemas.openxmlformats.org/officeDocument/2006/relationships" r:id="rId2"/>
          <a:extLst>
            <a:ext uri="{FF2B5EF4-FFF2-40B4-BE49-F238E27FC236}">
              <a16:creationId xmlns:a16="http://schemas.microsoft.com/office/drawing/2014/main" id="{29DEB8D7-0FEB-4507-A50B-05B81C09950A}"/>
            </a:ext>
          </a:extLst>
        </xdr:cNvPr>
        <xdr:cNvSpPr/>
      </xdr:nvSpPr>
      <xdr:spPr>
        <a:xfrm>
          <a:off x="6115049" y="85725"/>
          <a:ext cx="683895" cy="314325"/>
        </a:xfrm>
        <a:prstGeom prst="roundRect">
          <a:avLst/>
        </a:prstGeom>
        <a:solidFill>
          <a:srgbClr val="9353FF"/>
        </a:solidFill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100" b="1">
              <a:solidFill>
                <a:schemeClr val="bg1"/>
              </a:solidFill>
              <a:latin typeface="MuseoModerno" pitchFamily="2" charset="0"/>
            </a:rPr>
            <a:t>Voltar</a:t>
          </a:r>
        </a:p>
      </xdr:txBody>
    </xdr:sp>
    <xdr:clientData/>
  </xdr:twoCellAnchor>
  <xdr:twoCellAnchor editAs="absolute">
    <xdr:from>
      <xdr:col>3</xdr:col>
      <xdr:colOff>152400</xdr:colOff>
      <xdr:row>0</xdr:row>
      <xdr:rowOff>85725</xdr:rowOff>
    </xdr:from>
    <xdr:to>
      <xdr:col>4</xdr:col>
      <xdr:colOff>350520</xdr:colOff>
      <xdr:row>0</xdr:row>
      <xdr:rowOff>400050</xdr:rowOff>
    </xdr:to>
    <xdr:sp macro="" textlink="">
      <xdr:nvSpPr>
        <xdr:cNvPr id="5" name="Retângulo: Cantos Arredondados 4">
          <a:hlinkClick xmlns:r="http://schemas.openxmlformats.org/officeDocument/2006/relationships" r:id="rId3"/>
          <a:extLst>
            <a:ext uri="{FF2B5EF4-FFF2-40B4-BE49-F238E27FC236}">
              <a16:creationId xmlns:a16="http://schemas.microsoft.com/office/drawing/2014/main" id="{BE16AD2F-D430-4E96-8D94-F654A42B72BD}"/>
            </a:ext>
          </a:extLst>
        </xdr:cNvPr>
        <xdr:cNvSpPr/>
      </xdr:nvSpPr>
      <xdr:spPr>
        <a:xfrm>
          <a:off x="4467225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Vendas</a:t>
          </a:r>
        </a:p>
      </xdr:txBody>
    </xdr:sp>
    <xdr:clientData/>
  </xdr:twoCellAnchor>
  <xdr:twoCellAnchor editAs="absolute">
    <xdr:from>
      <xdr:col>2</xdr:col>
      <xdr:colOff>1347788</xdr:colOff>
      <xdr:row>0</xdr:row>
      <xdr:rowOff>85725</xdr:rowOff>
    </xdr:from>
    <xdr:to>
      <xdr:col>3</xdr:col>
      <xdr:colOff>60008</xdr:colOff>
      <xdr:row>0</xdr:row>
      <xdr:rowOff>400050</xdr:rowOff>
    </xdr:to>
    <xdr:sp macro="" textlink="">
      <xdr:nvSpPr>
        <xdr:cNvPr id="6" name="Retângulo: Cantos Arredondados 5">
          <a:hlinkClick xmlns:r="http://schemas.openxmlformats.org/officeDocument/2006/relationships" r:id="rId4"/>
          <a:extLst>
            <a:ext uri="{FF2B5EF4-FFF2-40B4-BE49-F238E27FC236}">
              <a16:creationId xmlns:a16="http://schemas.microsoft.com/office/drawing/2014/main" id="{7F5C5270-F703-4959-8D9F-71136CD13561}"/>
            </a:ext>
          </a:extLst>
        </xdr:cNvPr>
        <xdr:cNvSpPr/>
      </xdr:nvSpPr>
      <xdr:spPr>
        <a:xfrm>
          <a:off x="3395663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Vendedores</a:t>
          </a:r>
        </a:p>
      </xdr:txBody>
    </xdr:sp>
    <xdr:clientData/>
  </xdr:twoCellAnchor>
  <xdr:twoCellAnchor editAs="absolute">
    <xdr:from>
      <xdr:col>2</xdr:col>
      <xdr:colOff>276225</xdr:colOff>
      <xdr:row>0</xdr:row>
      <xdr:rowOff>85725</xdr:rowOff>
    </xdr:from>
    <xdr:to>
      <xdr:col>2</xdr:col>
      <xdr:colOff>1255395</xdr:colOff>
      <xdr:row>0</xdr:row>
      <xdr:rowOff>400050</xdr:rowOff>
    </xdr:to>
    <xdr:sp macro="" textlink="">
      <xdr:nvSpPr>
        <xdr:cNvPr id="7" name="Retângulo: Cantos Arredondados 6">
          <a:hlinkClick xmlns:r="http://schemas.openxmlformats.org/officeDocument/2006/relationships" r:id="rId5"/>
          <a:extLst>
            <a:ext uri="{FF2B5EF4-FFF2-40B4-BE49-F238E27FC236}">
              <a16:creationId xmlns:a16="http://schemas.microsoft.com/office/drawing/2014/main" id="{34F05AB9-4EF5-485F-A10E-4B5B41E0590A}"/>
            </a:ext>
          </a:extLst>
        </xdr:cNvPr>
        <xdr:cNvSpPr/>
      </xdr:nvSpPr>
      <xdr:spPr>
        <a:xfrm>
          <a:off x="2324100" y="85725"/>
          <a:ext cx="979170" cy="314325"/>
        </a:xfrm>
        <a:prstGeom prst="roundRect">
          <a:avLst/>
        </a:prstGeom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/>
          <a:r>
            <a:rPr lang="pt-BR" sz="1000" b="0">
              <a:solidFill>
                <a:srgbClr val="DAFF01"/>
              </a:solidFill>
              <a:latin typeface="MuseoModerno" pitchFamily="2" charset="0"/>
            </a:rPr>
            <a:t>Produtos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200024</xdr:colOff>
      <xdr:row>0</xdr:row>
      <xdr:rowOff>104774</xdr:rowOff>
    </xdr:from>
    <xdr:to>
      <xdr:col>2</xdr:col>
      <xdr:colOff>752475</xdr:colOff>
      <xdr:row>1</xdr:row>
      <xdr:rowOff>866774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egoria 1">
              <a:extLst>
                <a:ext uri="{FF2B5EF4-FFF2-40B4-BE49-F238E27FC236}">
                  <a16:creationId xmlns:a16="http://schemas.microsoft.com/office/drawing/2014/main" id="{8B3096F1-0C3D-DBCC-2744-8B036B5C97CD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 1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00024" y="104774"/>
              <a:ext cx="3724276" cy="962025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171450</xdr:colOff>
      <xdr:row>1</xdr:row>
      <xdr:rowOff>123826</xdr:rowOff>
    </xdr:from>
    <xdr:to>
      <xdr:col>5</xdr:col>
      <xdr:colOff>430530</xdr:colOff>
      <xdr:row>7</xdr:row>
      <xdr:rowOff>180976</xdr:rowOff>
    </xdr:to>
    <mc:AlternateContent xmlns:mc="http://schemas.openxmlformats.org/markup-compatibility/2006" xmlns:a14="http://schemas.microsoft.com/office/drawing/2010/main">
      <mc:Choice Requires="a14">
        <xdr:graphicFrame macro="">
          <xdr:nvGraphicFramePr>
            <xdr:cNvPr id="4" name="Categoria">
              <a:extLst>
                <a:ext uri="{FF2B5EF4-FFF2-40B4-BE49-F238E27FC236}">
                  <a16:creationId xmlns:a16="http://schemas.microsoft.com/office/drawing/2014/main" id="{2F3D9043-042D-8A9F-37B8-A0CC1C2A4033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0/slicer">
              <sle:slicer xmlns:sle="http://schemas.microsoft.com/office/drawing/2010/slicer" name="Categori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2895600" y="314326"/>
              <a:ext cx="1828800" cy="120015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Esta forma representa uma segmentação de dados. Segmentações de dados têm suporte no Excel 2010 ou versões posteriores.
\Se a forma tiver sido modificada em uma versão anterior do Excel, ou se a pasta de trabalho tiver sido salva no Excel 2003 ou versões anteriores, a segmentação de dados não poderá ser usada.</a:t>
              </a:r>
            </a:p>
          </xdr:txBody>
        </xdr:sp>
      </mc:Fallback>
    </mc:AlternateContent>
    <xdr:clientData/>
  </xdr:twoCellAnchor>
  <xdr:twoCellAnchor editAs="oneCell">
    <xdr:from>
      <xdr:col>6</xdr:col>
      <xdr:colOff>417193</xdr:colOff>
      <xdr:row>1</xdr:row>
      <xdr:rowOff>180975</xdr:rowOff>
    </xdr:from>
    <xdr:to>
      <xdr:col>15</xdr:col>
      <xdr:colOff>340994</xdr:colOff>
      <xdr:row>9</xdr:row>
      <xdr:rowOff>36195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5" name="Data">
              <a:extLst>
                <a:ext uri="{FF2B5EF4-FFF2-40B4-BE49-F238E27FC236}">
                  <a16:creationId xmlns:a16="http://schemas.microsoft.com/office/drawing/2014/main" id="{7F83822A-8703-296F-E843-14AB09CE5897}"/>
                </a:ext>
              </a:extLst>
            </xdr:cNvPr>
            <xdr:cNvGraphicFramePr/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063613" y="363855"/>
              <a:ext cx="5410201" cy="1318260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91440</xdr:colOff>
      <xdr:row>0</xdr:row>
      <xdr:rowOff>76200</xdr:rowOff>
    </xdr:from>
    <xdr:to>
      <xdr:col>0</xdr:col>
      <xdr:colOff>477519</xdr:colOff>
      <xdr:row>0</xdr:row>
      <xdr:rowOff>462279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64EA7978-4266-437F-879D-423B85D1644E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91440" y="76200"/>
          <a:ext cx="386079" cy="386079"/>
        </a:xfrm>
        <a:prstGeom prst="rect">
          <a:avLst/>
        </a:prstGeom>
      </xdr:spPr>
    </xdr:pic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4</xdr:col>
      <xdr:colOff>190500</xdr:colOff>
      <xdr:row>1</xdr:row>
      <xdr:rowOff>106680</xdr:rowOff>
    </xdr:from>
    <xdr:to>
      <xdr:col>11</xdr:col>
      <xdr:colOff>495300</xdr:colOff>
      <xdr:row>16</xdr:row>
      <xdr:rowOff>106680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6FB64439-6D99-A0C6-B627-EB340A28976C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49</xdr:col>
      <xdr:colOff>0</xdr:colOff>
      <xdr:row>0</xdr:row>
      <xdr:rowOff>0</xdr:rowOff>
    </xdr:from>
    <xdr:to>
      <xdr:col>80</xdr:col>
      <xdr:colOff>52513</xdr:colOff>
      <xdr:row>8</xdr:row>
      <xdr:rowOff>0</xdr:rowOff>
    </xdr:to>
    <mc:AlternateContent xmlns:mc="http://schemas.openxmlformats.org/markup-compatibility/2006" xmlns:tsle="http://schemas.microsoft.com/office/drawing/2012/timeslicer">
      <mc:Choice Requires="tsle">
        <xdr:graphicFrame macro="">
          <xdr:nvGraphicFramePr>
            <xdr:cNvPr id="8" name="Data 2">
              <a:extLst>
                <a:ext uri="{FF2B5EF4-FFF2-40B4-BE49-F238E27FC236}">
                  <a16:creationId xmlns:a16="http://schemas.microsoft.com/office/drawing/2014/main" id="{C9A21A73-4585-2789-7596-A6FF2C8079B0}"/>
                </a:ext>
              </a:extLst>
            </xdr:cNvPr>
            <xdr:cNvGraphicFramePr>
              <a:graphicFrameLocks/>
            </xdr:cNvGraphicFramePr>
          </xdr:nvGraphicFramePr>
          <xdr:xfrm>
            <a:off x="0" y="0"/>
            <a:ext cx="0" cy="0"/>
          </xdr:xfrm>
          <a:graphic>
            <a:graphicData uri="http://schemas.microsoft.com/office/drawing/2012/timeslicer">
              <tsle:timeslicer name="Data 2"/>
            </a:graphicData>
          </a:graphic>
        </xdr:graphicFrame>
      </mc:Choice>
      <mc:Fallback xmlns="">
        <xdr:sp macro="" textlink="">
          <xdr:nvSpPr>
            <xdr:cNvPr id="0" name=""/>
            <xdr:cNvSpPr>
              <a:spLocks noTextEdit="1"/>
            </xdr:cNvSpPr>
          </xdr:nvSpPr>
          <xdr:spPr>
            <a:xfrm>
              <a:off x="6681537" y="0"/>
              <a:ext cx="4279608" cy="962526"/>
            </a:xfrm>
            <a:prstGeom prst="rect">
              <a:avLst/>
            </a:prstGeom>
            <a:solidFill>
              <a:prstClr val="white"/>
            </a:solidFill>
            <a:ln w="1">
              <a:solidFill>
                <a:prstClr val="green"/>
              </a:solidFill>
            </a:ln>
          </xdr:spPr>
          <xdr:txBody>
            <a:bodyPr vertOverflow="clip" horzOverflow="clip"/>
            <a:lstStyle/>
            <a:p>
              <a:r>
                <a:rPr lang="pt-BR" sz="1100"/>
                <a:t>Linha do tempo: Funciona em Excel 2013 ou superior. Não mover ou redimensionar.</a:t>
              </a:r>
            </a:p>
          </xdr:txBody>
        </xdr:sp>
      </mc:Fallback>
    </mc:AlternateContent>
    <xdr:clientData fLocksWithSheet="0"/>
  </xdr:twoCellAnchor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2" name="Imagem 1">
          <a:extLst>
            <a:ext uri="{FF2B5EF4-FFF2-40B4-BE49-F238E27FC236}">
              <a16:creationId xmlns:a16="http://schemas.microsoft.com/office/drawing/2014/main" id="{1497412C-53BF-4B3D-8F13-D25F39CF57C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3841"/>
          <a:ext cx="3027045" cy="415749"/>
        </a:xfrm>
        <a:prstGeom prst="rect">
          <a:avLst/>
        </a:prstGeom>
      </xdr:spPr>
    </xdr:pic>
    <xdr:clientData/>
  </xdr:twoCellAnchor>
  <xdr:twoCellAnchor>
    <xdr:from>
      <xdr:col>42</xdr:col>
      <xdr:colOff>37406</xdr:colOff>
      <xdr:row>27</xdr:row>
      <xdr:rowOff>41217</xdr:rowOff>
    </xdr:from>
    <xdr:to>
      <xdr:col>79</xdr:col>
      <xdr:colOff>55417</xdr:colOff>
      <xdr:row>45</xdr:row>
      <xdr:rowOff>55418</xdr:rowOff>
    </xdr:to>
    <xdr:graphicFrame macro="">
      <xdr:nvGraphicFramePr>
        <xdr:cNvPr id="3" name="Gráfico 1">
          <a:extLst>
            <a:ext uri="{FF2B5EF4-FFF2-40B4-BE49-F238E27FC236}">
              <a16:creationId xmlns:a16="http://schemas.microsoft.com/office/drawing/2014/main" id="{AA8EDB75-12CE-2DC0-4965-FAEECE0C17D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2</xdr:col>
      <xdr:colOff>27709</xdr:colOff>
      <xdr:row>27</xdr:row>
      <xdr:rowOff>41564</xdr:rowOff>
    </xdr:from>
    <xdr:to>
      <xdr:col>15</xdr:col>
      <xdr:colOff>83127</xdr:colOff>
      <xdr:row>45</xdr:row>
      <xdr:rowOff>96981</xdr:rowOff>
    </xdr:to>
    <xdr:graphicFrame macro="">
      <xdr:nvGraphicFramePr>
        <xdr:cNvPr id="4" name="Gráfico 4">
          <a:extLst>
            <a:ext uri="{FF2B5EF4-FFF2-40B4-BE49-F238E27FC236}">
              <a16:creationId xmlns:a16="http://schemas.microsoft.com/office/drawing/2014/main" id="{3752D0D7-F663-AE19-4333-BA263F1306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27</xdr:col>
      <xdr:colOff>13855</xdr:colOff>
      <xdr:row>27</xdr:row>
      <xdr:rowOff>83127</xdr:rowOff>
    </xdr:from>
    <xdr:to>
      <xdr:col>39</xdr:col>
      <xdr:colOff>69272</xdr:colOff>
      <xdr:row>45</xdr:row>
      <xdr:rowOff>83127</xdr:rowOff>
    </xdr:to>
    <xdr:graphicFrame macro="">
      <xdr:nvGraphicFramePr>
        <xdr:cNvPr id="5" name="Gráfico 5">
          <a:extLst>
            <a:ext uri="{FF2B5EF4-FFF2-40B4-BE49-F238E27FC236}">
              <a16:creationId xmlns:a16="http://schemas.microsoft.com/office/drawing/2014/main" id="{82CB3506-FBE8-79D2-3992-D069BE7527C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77586</xdr:colOff>
      <xdr:row>26</xdr:row>
      <xdr:rowOff>124345</xdr:rowOff>
    </xdr:from>
    <xdr:to>
      <xdr:col>27</xdr:col>
      <xdr:colOff>13855</xdr:colOff>
      <xdr:row>45</xdr:row>
      <xdr:rowOff>83128</xdr:rowOff>
    </xdr:to>
    <xdr:graphicFrame macro="">
      <xdr:nvGraphicFramePr>
        <xdr:cNvPr id="6" name="Gráfico 7">
          <a:extLst>
            <a:ext uri="{FF2B5EF4-FFF2-40B4-BE49-F238E27FC236}">
              <a16:creationId xmlns:a16="http://schemas.microsoft.com/office/drawing/2014/main" id="{8C3D10D2-C280-7310-A4DF-8CDE0DFAC123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</xdr:col>
      <xdr:colOff>24062</xdr:colOff>
      <xdr:row>9</xdr:row>
      <xdr:rowOff>102087</xdr:rowOff>
    </xdr:from>
    <xdr:to>
      <xdr:col>79</xdr:col>
      <xdr:colOff>88231</xdr:colOff>
      <xdr:row>23</xdr:row>
      <xdr:rowOff>80211</xdr:rowOff>
    </xdr:to>
    <xdr:graphicFrame macro="">
      <xdr:nvGraphicFramePr>
        <xdr:cNvPr id="7" name="Gráfico 8">
          <a:extLst>
            <a:ext uri="{FF2B5EF4-FFF2-40B4-BE49-F238E27FC236}">
              <a16:creationId xmlns:a16="http://schemas.microsoft.com/office/drawing/2014/main" id="{86CBFA22-3D17-1F8B-BF80-55257D4AEF4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0</xdr:colOff>
          <xdr:row>5</xdr:row>
          <xdr:rowOff>0</xdr:rowOff>
        </xdr:from>
        <xdr:to>
          <xdr:col>85</xdr:col>
          <xdr:colOff>0</xdr:colOff>
          <xdr:row>8</xdr:row>
          <xdr:rowOff>0</xdr:rowOff>
        </xdr:to>
        <xdr:sp macro="" textlink="">
          <xdr:nvSpPr>
            <xdr:cNvPr id="11265" name="Button 1" hidden="1">
              <a:extLst>
                <a:ext uri="{63B3BB69-23CF-44E3-9099-C40C66FF867C}">
                  <a14:compatExt spid="_x0000_s11265"/>
                </a:ext>
                <a:ext uri="{FF2B5EF4-FFF2-40B4-BE49-F238E27FC236}">
                  <a16:creationId xmlns:a16="http://schemas.microsoft.com/office/drawing/2014/main" id="{00000000-0008-0000-0D00-000001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Atualizar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81</xdr:col>
          <xdr:colOff>45720</xdr:colOff>
          <xdr:row>11</xdr:row>
          <xdr:rowOff>68580</xdr:rowOff>
        </xdr:from>
        <xdr:to>
          <xdr:col>89</xdr:col>
          <xdr:colOff>22860</xdr:colOff>
          <xdr:row>14</xdr:row>
          <xdr:rowOff>53340</xdr:rowOff>
        </xdr:to>
        <xdr:sp macro="" textlink="">
          <xdr:nvSpPr>
            <xdr:cNvPr id="11268" name="Button 4" hidden="1">
              <a:extLst>
                <a:ext uri="{63B3BB69-23CF-44E3-9099-C40C66FF867C}">
                  <a14:compatExt spid="_x0000_s11268"/>
                </a:ext>
                <a:ext uri="{FF2B5EF4-FFF2-40B4-BE49-F238E27FC236}">
                  <a16:creationId xmlns:a16="http://schemas.microsoft.com/office/drawing/2014/main" id="{00000000-0008-0000-0D00-0000042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pt-BR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Atualiza Tabelas</a:t>
              </a:r>
            </a:p>
          </xdr:txBody>
        </xdr:sp>
        <xdr:clientData fPrintsWithSheet="0"/>
      </xdr:twoCellAnchor>
    </mc:Choice>
    <mc:Fallback/>
  </mc:AlternateContent>
</xdr:wsDr>
</file>

<file path=xl/drawings/drawing1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2</xdr:row>
      <xdr:rowOff>1</xdr:rowOff>
    </xdr:from>
    <xdr:to>
      <xdr:col>22</xdr:col>
      <xdr:colOff>9525</xdr:colOff>
      <xdr:row>5</xdr:row>
      <xdr:rowOff>49990</xdr:rowOff>
    </xdr:to>
    <xdr:pic>
      <xdr:nvPicPr>
        <xdr:cNvPr id="3" name="Imagem 2">
          <a:extLst>
            <a:ext uri="{FF2B5EF4-FFF2-40B4-BE49-F238E27FC236}">
              <a16:creationId xmlns:a16="http://schemas.microsoft.com/office/drawing/2014/main" id="{EA577B8C-A23D-DB82-E232-44F2916044C2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0" y="247651"/>
          <a:ext cx="2943225" cy="421464"/>
        </a:xfrm>
        <a:prstGeom prst="rect">
          <a:avLst/>
        </a:prstGeom>
      </xdr:spPr>
    </xdr:pic>
    <xdr:clientData/>
  </xdr:twoCellAnchor>
  <xdr:twoCellAnchor>
    <xdr:from>
      <xdr:col>2</xdr:col>
      <xdr:colOff>27015</xdr:colOff>
      <xdr:row>10</xdr:row>
      <xdr:rowOff>19397</xdr:rowOff>
    </xdr:from>
    <xdr:to>
      <xdr:col>79</xdr:col>
      <xdr:colOff>124690</xdr:colOff>
      <xdr:row>23</xdr:row>
      <xdr:rowOff>110836</xdr:rowOff>
    </xdr:to>
    <xdr:graphicFrame macro="">
      <xdr:nvGraphicFramePr>
        <xdr:cNvPr id="2" name="Gráfico 2">
          <a:extLst>
            <a:ext uri="{FF2B5EF4-FFF2-40B4-BE49-F238E27FC236}">
              <a16:creationId xmlns:a16="http://schemas.microsoft.com/office/drawing/2014/main" id="{511133D8-4375-0B91-6A42-64EB7C1F2B2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42</xdr:col>
      <xdr:colOff>14549</xdr:colOff>
      <xdr:row>26</xdr:row>
      <xdr:rowOff>114299</xdr:rowOff>
    </xdr:from>
    <xdr:to>
      <xdr:col>80</xdr:col>
      <xdr:colOff>0</xdr:colOff>
      <xdr:row>46</xdr:row>
      <xdr:rowOff>0</xdr:rowOff>
    </xdr:to>
    <xdr:graphicFrame macro="">
      <xdr:nvGraphicFramePr>
        <xdr:cNvPr id="4" name="Gráfico 1">
          <a:extLst>
            <a:ext uri="{FF2B5EF4-FFF2-40B4-BE49-F238E27FC236}">
              <a16:creationId xmlns:a16="http://schemas.microsoft.com/office/drawing/2014/main" id="{3C35BDEA-06A2-011A-DF39-F6F8A64E17A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2</xdr:col>
      <xdr:colOff>11776</xdr:colOff>
      <xdr:row>27</xdr:row>
      <xdr:rowOff>34289</xdr:rowOff>
    </xdr:from>
    <xdr:to>
      <xdr:col>14</xdr:col>
      <xdr:colOff>41564</xdr:colOff>
      <xdr:row>45</xdr:row>
      <xdr:rowOff>96982</xdr:rowOff>
    </xdr:to>
    <xdr:graphicFrame macro="">
      <xdr:nvGraphicFramePr>
        <xdr:cNvPr id="5" name="Gráfico 8">
          <a:extLst>
            <a:ext uri="{FF2B5EF4-FFF2-40B4-BE49-F238E27FC236}">
              <a16:creationId xmlns:a16="http://schemas.microsoft.com/office/drawing/2014/main" id="{F89D4062-F17A-F0FD-F54A-CD8FC1F07A7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14</xdr:col>
      <xdr:colOff>36022</xdr:colOff>
      <xdr:row>27</xdr:row>
      <xdr:rowOff>41217</xdr:rowOff>
    </xdr:from>
    <xdr:to>
      <xdr:col>26</xdr:col>
      <xdr:colOff>55418</xdr:colOff>
      <xdr:row>45</xdr:row>
      <xdr:rowOff>96983</xdr:rowOff>
    </xdr:to>
    <xdr:graphicFrame macro="">
      <xdr:nvGraphicFramePr>
        <xdr:cNvPr id="6" name="Gráfico 9">
          <a:extLst>
            <a:ext uri="{FF2B5EF4-FFF2-40B4-BE49-F238E27FC236}">
              <a16:creationId xmlns:a16="http://schemas.microsoft.com/office/drawing/2014/main" id="{CB84B7FF-573C-AF5F-BBFE-11BCBC97A93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26</xdr:col>
      <xdr:colOff>55419</xdr:colOff>
      <xdr:row>27</xdr:row>
      <xdr:rowOff>55071</xdr:rowOff>
    </xdr:from>
    <xdr:to>
      <xdr:col>39</xdr:col>
      <xdr:colOff>76892</xdr:colOff>
      <xdr:row>45</xdr:row>
      <xdr:rowOff>83126</xdr:rowOff>
    </xdr:to>
    <xdr:graphicFrame macro="">
      <xdr:nvGraphicFramePr>
        <xdr:cNvPr id="7" name="Gráfico 10">
          <a:extLst>
            <a:ext uri="{FF2B5EF4-FFF2-40B4-BE49-F238E27FC236}">
              <a16:creationId xmlns:a16="http://schemas.microsoft.com/office/drawing/2014/main" id="{665868DB-82D7-D920-450D-6F7617607792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</xdr:wsDr>
</file>

<file path=xl/pivotCache/_rels/pivotCacheDefinition8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fraim Melo" refreshedDate="45706.890524074071" createdVersion="5" refreshedVersion="8" minRefreshableVersion="3" recordCount="0" supportSubquery="1" supportAdvancedDrill="1" xr:uid="{67A11A2C-A045-410B-B495-372307B8BC1A}">
  <cacheSource type="external" connectionId="4"/>
  <cacheFields count="3">
    <cacheField name="[Measures].[Soma de Total]" caption="Soma de Total" numFmtId="0" hierarchy="47" level="32767"/>
    <cacheField name="[TB_Vendas].[Mês].[Mês]" caption="Mês" numFmtId="0" hierarchy="11" level="1">
      <sharedItems count="8">
        <s v="Abr"/>
        <s v="Ago"/>
        <s v="Fev"/>
        <s v="Jan"/>
        <s v="Jul"/>
        <s v="Jun"/>
        <s v="Mai"/>
        <s v="Mar"/>
      </sharedItems>
    </cacheField>
    <cacheField name="[Measures].[Soma de Qtd]" caption="Soma de Qtd" numFmtId="0" hierarchy="46" level="32767"/>
  </cacheFields>
  <cacheHierarchies count="52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2" memberValueDatatype="130" unbalanced="0">
      <fieldsUsage count="2">
        <fieldUsage x="-1"/>
        <fieldUsage x="1"/>
      </fieldsUsage>
    </cacheHierarchy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Vendas__2].[Data]" caption="Data" attribute="1" time="1" defaultMemberUniqueName="[Vendas__2].[Data].[All]" allUniqueName="[Vendas__2].[Data].[All]" dimensionUniqueName="[Vendas__2]" displayFolder="" count="0" memberValueDatatype="7" unbalanced="0"/>
    <cacheHierarchy uniqueName="[Vendas__2].[Código]" caption="Código" attribute="1" defaultMemberUniqueName="[Vendas__2].[Código].[All]" allUniqueName="[Vendas__2].[Código].[All]" dimensionUniqueName="[Vendas__2]" displayFolder="" count="0" memberValueDatatype="130" unbalanced="0"/>
    <cacheHierarchy uniqueName="[Vendas__2].[Categoria]" caption="Categoria" attribute="1" defaultMemberUniqueName="[Vendas__2].[Categoria].[All]" allUniqueName="[Vendas__2].[Categoria].[All]" dimensionUniqueName="[Vendas__2]" displayFolder="" count="0" memberValueDatatype="130" unbalanced="0"/>
    <cacheHierarchy uniqueName="[Vendas__2].[Qtd]" caption="Qtd" attribute="1" defaultMemberUniqueName="[Vendas__2].[Qtd].[All]" allUniqueName="[Vendas__2].[Qtd].[All]" dimensionUniqueName="[Vendas__2]" displayFolder="" count="0" memberValueDatatype="20" unbalanced="0"/>
    <cacheHierarchy uniqueName="[Vendas__2].[Preço Unitário]" caption="Preço Unitário" attribute="1" defaultMemberUniqueName="[Vendas__2].[Preço Unitário].[All]" allUniqueName="[Vendas__2].[Preço Unitário].[All]" dimensionUniqueName="[Vendas__2]" displayFolder="" count="0" memberValueDatatype="5" unbalanced="0"/>
    <cacheHierarchy uniqueName="[Vendas__2].[Desconto Final]" caption="Desconto Final" attribute="1" defaultMemberUniqueName="[Vendas__2].[Desconto Final].[All]" allUniqueName="[Vendas__2].[Desconto Final].[All]" dimensionUniqueName="[Vendas__2]" displayFolder="" count="0" memberValueDatatype="5" unbalanced="0"/>
    <cacheHierarchy uniqueName="[Vendas__2].[Total]" caption="Total" attribute="1" defaultMemberUniqueName="[Vendas__2].[Total].[All]" allUniqueName="[Vendas__2].[Total].[All]" dimensionUniqueName="[Vendas__2]" displayFolder="" count="0" memberValueDatatype="5" unbalanced="0"/>
    <cacheHierarchy uniqueName="[Vendas__2].[Nome_Vend]" caption="Nome_Vend" attribute="1" defaultMemberUniqueName="[Vendas__2].[Nome_Vend].[All]" allUniqueName="[Vendas__2].[Nome_Vend].[All]" dimensionUniqueName="[Vendas__2]" displayFolder="" count="0" memberValueDatatype="130" unbalanced="0"/>
    <cacheHierarchy uniqueName="[Vendas__2].[Vendedor]" caption="Vendedor" attribute="1" defaultMemberUniqueName="[Vendas__2].[Vendedor].[All]" allUniqueName="[Vendas__2].[Vendedor].[All]" dimensionUniqueName="[Vendas__2]" displayFolder="" count="0" memberValueDatatype="130" unbalanced="0"/>
    <cacheHierarchy uniqueName="[Vendas__2].[Data (Ano)]" caption="Data (Ano)" attribute="1" defaultMemberUniqueName="[Vendas__2].[Data (Ano)].[All]" allUniqueName="[Vendas__2].[Data (Ano)].[All]" dimensionUniqueName="[Vendas__2]" displayFolder="" count="0" memberValueDatatype="130" unbalanced="0"/>
    <cacheHierarchy uniqueName="[Vendas__2].[Data (Trimestre)]" caption="Data (Trimestre)" attribute="1" defaultMemberUniqueName="[Vendas__2].[Data (Trimestre)].[All]" allUniqueName="[Vendas__2].[Data (Trimestre)].[All]" dimensionUniqueName="[Vendas__2]" displayFolder="" count="0" memberValueDatatype="130" unbalanced="0"/>
    <cacheHierarchy uniqueName="[Vendas__2].[Data (Mês)]" caption="Data (Mês)" attribute="1" defaultMemberUniqueName="[Vendas__2].[Data (Mês)].[All]" allUniqueName="[Vendas__2].[Data (Mês)].[All]" dimensionUniqueName="[Vendas__2]" displayFolder="" count="0" memberValueDatatype="130" unbalanced="0"/>
    <cacheHierarchy uniqueName="[Vendas__2].[Data (Índice de Mês)]" caption="Data (Índice de Mês)" attribute="1" defaultMemberUniqueName="[Vendas__2].[Data (Índice de Mês)].[All]" allUniqueName="[Vendas__2].[Data (Índice de Mês)].[All]" dimensionUniqueName="[Vendas__2]" displayFolder="" count="0" memberValueDatatype="20" unbalanced="0" hidden="1"/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Categoria]" caption="%Categoria" measure="1" displayFolder="" measureGroup="TB_Vendas" count="0"/>
    <cacheHierarchy uniqueName="[Measures].[%Restante]" caption="%Restante" measure="1" displayFolder="" measureGroup="TB_Vendas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Vendas__2]" caption="__XL_Count Vendas__2" measure="1" displayFolder="" measureGroup="Vendas__2" count="0" hidden="1"/>
    <cacheHierarchy uniqueName="[Measures].[__No measures defined]" caption="__No measures defined" measure="1" displayFolder="" count="0" hidden="1"/>
    <cacheHierarchy uniqueName="[Measures].[Soma de Qtd]" caption="Soma de Qtd" measure="1" displayFolder="" measureGroup="TB_Vendas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Total]" caption="Soma de Total" measure="1" displayFolder="" measureGroup="TB_Venda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Preço Unitário]" caption="Soma de Preço Unitário" measure="1" displayFolder="" measureGroup="TB_Venda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Vendedor 2]" caption="Contagem de Vendedor 2" measure="1" displayFolder="" measureGroup="Interval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Total 2]" caption="Soma de Total 2" measure="1" displayFolder="" measureGroup="Vendas__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Vendas__2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Vendas__2" uniqueName="[Vendas__2]" caption="Vendas__2"/>
  </dimensions>
  <measureGroups count="4">
    <measureGroup name="Intervalo" caption="Intervalo"/>
    <measureGroup name="TB_Produtos" caption="TB_Produtos"/>
    <measureGroup name="TB_Vendas" caption="TB_Vendas"/>
    <measureGroup name="Vendas__2" caption="Vendas__2"/>
  </measureGroups>
  <maps count="6">
    <map measureGroup="0" dimension="0"/>
    <map measureGroup="1" dimension="2"/>
    <map measureGroup="2" dimension="0"/>
    <map measureGroup="2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2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fraim Melo" refreshedDate="45706.890527430558" backgroundQuery="1" createdVersion="8" refreshedVersion="8" minRefreshableVersion="3" recordCount="0" supportSubquery="1" supportAdvancedDrill="1" xr:uid="{0E9C5593-B01E-4C8F-AFAD-4007B27D76B7}">
  <cacheSource type="external" connectionId="4"/>
  <cacheFields count="4">
    <cacheField name="[Measures].[Soma de Qtd]" caption="Soma de Qtd" numFmtId="0" hierarchy="46" level="32767"/>
    <cacheField name="[Measures].[Soma de Total]" caption="Soma de Total" numFmtId="0" hierarchy="47" level="32767"/>
    <cacheField name="[TB_Vendas].[Mês].[Mês]" caption="Mês" numFmtId="0" hierarchy="11" level="1">
      <sharedItems count="8">
        <s v="Abr"/>
        <s v="Ago"/>
        <s v="Fev"/>
        <s v="Jan"/>
        <s v="Jul"/>
        <s v="Jun"/>
        <s v="Mai"/>
        <s v="Mar"/>
      </sharedItems>
    </cacheField>
    <cacheField name="[TB_Produtos].[Categoria].[Categoria]" caption="Categoria" numFmtId="0" hierarchy="7" level="1">
      <sharedItems containsSemiMixedTypes="0" containsNonDate="0" containsString="0"/>
    </cacheField>
  </cacheFields>
  <cacheHierarchies count="52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2" memberValueDatatype="130" unbalanced="0">
      <fieldsUsage count="2">
        <fieldUsage x="-1"/>
        <fieldUsage x="3"/>
      </fieldsUsage>
    </cacheHierarchy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2" memberValueDatatype="130" unbalanced="0">
      <fieldsUsage count="2">
        <fieldUsage x="-1"/>
        <fieldUsage x="2"/>
      </fieldsUsage>
    </cacheHierarchy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Vendas__2].[Data]" caption="Data" attribute="1" time="1" defaultMemberUniqueName="[Vendas__2].[Data].[All]" allUniqueName="[Vendas__2].[Data].[All]" dimensionUniqueName="[Vendas__2]" displayFolder="" count="0" memberValueDatatype="7" unbalanced="0"/>
    <cacheHierarchy uniqueName="[Vendas__2].[Código]" caption="Código" attribute="1" defaultMemberUniqueName="[Vendas__2].[Código].[All]" allUniqueName="[Vendas__2].[Código].[All]" dimensionUniqueName="[Vendas__2]" displayFolder="" count="0" memberValueDatatype="130" unbalanced="0"/>
    <cacheHierarchy uniqueName="[Vendas__2].[Categoria]" caption="Categoria" attribute="1" defaultMemberUniqueName="[Vendas__2].[Categoria].[All]" allUniqueName="[Vendas__2].[Categoria].[All]" dimensionUniqueName="[Vendas__2]" displayFolder="" count="0" memberValueDatatype="130" unbalanced="0"/>
    <cacheHierarchy uniqueName="[Vendas__2].[Qtd]" caption="Qtd" attribute="1" defaultMemberUniqueName="[Vendas__2].[Qtd].[All]" allUniqueName="[Vendas__2].[Qtd].[All]" dimensionUniqueName="[Vendas__2]" displayFolder="" count="0" memberValueDatatype="20" unbalanced="0"/>
    <cacheHierarchy uniqueName="[Vendas__2].[Preço Unitário]" caption="Preço Unitário" attribute="1" defaultMemberUniqueName="[Vendas__2].[Preço Unitário].[All]" allUniqueName="[Vendas__2].[Preço Unitário].[All]" dimensionUniqueName="[Vendas__2]" displayFolder="" count="0" memberValueDatatype="5" unbalanced="0"/>
    <cacheHierarchy uniqueName="[Vendas__2].[Desconto Final]" caption="Desconto Final" attribute="1" defaultMemberUniqueName="[Vendas__2].[Desconto Final].[All]" allUniqueName="[Vendas__2].[Desconto Final].[All]" dimensionUniqueName="[Vendas__2]" displayFolder="" count="0" memberValueDatatype="5" unbalanced="0"/>
    <cacheHierarchy uniqueName="[Vendas__2].[Total]" caption="Total" attribute="1" defaultMemberUniqueName="[Vendas__2].[Total].[All]" allUniqueName="[Vendas__2].[Total].[All]" dimensionUniqueName="[Vendas__2]" displayFolder="" count="0" memberValueDatatype="5" unbalanced="0"/>
    <cacheHierarchy uniqueName="[Vendas__2].[Nome_Vend]" caption="Nome_Vend" attribute="1" defaultMemberUniqueName="[Vendas__2].[Nome_Vend].[All]" allUniqueName="[Vendas__2].[Nome_Vend].[All]" dimensionUniqueName="[Vendas__2]" displayFolder="" count="0" memberValueDatatype="130" unbalanced="0"/>
    <cacheHierarchy uniqueName="[Vendas__2].[Vendedor]" caption="Vendedor" attribute="1" defaultMemberUniqueName="[Vendas__2].[Vendedor].[All]" allUniqueName="[Vendas__2].[Vendedor].[All]" dimensionUniqueName="[Vendas__2]" displayFolder="" count="0" memberValueDatatype="130" unbalanced="0"/>
    <cacheHierarchy uniqueName="[Vendas__2].[Data (Ano)]" caption="Data (Ano)" attribute="1" defaultMemberUniqueName="[Vendas__2].[Data (Ano)].[All]" allUniqueName="[Vendas__2].[Data (Ano)].[All]" dimensionUniqueName="[Vendas__2]" displayFolder="" count="0" memberValueDatatype="130" unbalanced="0"/>
    <cacheHierarchy uniqueName="[Vendas__2].[Data (Trimestre)]" caption="Data (Trimestre)" attribute="1" defaultMemberUniqueName="[Vendas__2].[Data (Trimestre)].[All]" allUniqueName="[Vendas__2].[Data (Trimestre)].[All]" dimensionUniqueName="[Vendas__2]" displayFolder="" count="0" memberValueDatatype="130" unbalanced="0"/>
    <cacheHierarchy uniqueName="[Vendas__2].[Data (Mês)]" caption="Data (Mês)" attribute="1" defaultMemberUniqueName="[Vendas__2].[Data (Mês)].[All]" allUniqueName="[Vendas__2].[Data (Mês)].[All]" dimensionUniqueName="[Vendas__2]" displayFolder="" count="0" memberValueDatatype="130" unbalanced="0"/>
    <cacheHierarchy uniqueName="[Vendas__2].[Data (Índice de Mês)]" caption="Data (Índice de Mês)" attribute="1" defaultMemberUniqueName="[Vendas__2].[Data (Índice de Mês)].[All]" allUniqueName="[Vendas__2].[Data (Índice de Mês)].[All]" dimensionUniqueName="[Vendas__2]" displayFolder="" count="0" memberValueDatatype="20" unbalanced="0" hidden="1"/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Categoria]" caption="%Categoria" measure="1" displayFolder="" measureGroup="TB_Vendas" count="0"/>
    <cacheHierarchy uniqueName="[Measures].[%Restante]" caption="%Restante" measure="1" displayFolder="" measureGroup="TB_Vendas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Vendas__2]" caption="__XL_Count Vendas__2" measure="1" displayFolder="" measureGroup="Vendas__2" count="0" hidden="1"/>
    <cacheHierarchy uniqueName="[Measures].[__No measures defined]" caption="__No measures defined" measure="1" displayFolder="" count="0" hidden="1"/>
    <cacheHierarchy uniqueName="[Measures].[Soma de Qtd]" caption="Soma de Qtd" measure="1" displayFolder="" measureGroup="TB_Vendas" count="0" oneField="1" hidden="1">
      <fieldsUsage count="1">
        <fieldUsage x="0"/>
      </fieldsUsage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Total]" caption="Soma de Total" measure="1" displayFolder="" measureGroup="TB_Vend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Preço Unitário]" caption="Soma de Preço Unitário" measure="1" displayFolder="" measureGroup="TB_Venda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Vendedor 2]" caption="Contagem de Vendedor 2" measure="1" displayFolder="" measureGroup="Interval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Total 2]" caption="Soma de Total 2" measure="1" displayFolder="" measureGroup="Vendas__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Vendas__2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Vendas__2" uniqueName="[Vendas__2]" caption="Vendas__2"/>
  </dimensions>
  <measureGroups count="4">
    <measureGroup name="Intervalo" caption="Intervalo"/>
    <measureGroup name="TB_Produtos" caption="TB_Produtos"/>
    <measureGroup name="TB_Vendas" caption="TB_Vendas"/>
    <measureGroup name="Vendas__2" caption="Vendas__2"/>
  </measureGroups>
  <maps count="6">
    <map measureGroup="0" dimension="0"/>
    <map measureGroup="1" dimension="2"/>
    <map measureGroup="2" dimension="0"/>
    <map measureGroup="2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3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fraim Melo" refreshedDate="45706.890529050928" backgroundQuery="1" createdVersion="8" refreshedVersion="8" minRefreshableVersion="3" recordCount="0" supportSubquery="1" supportAdvancedDrill="1" xr:uid="{9627F71F-20D1-4A53-B3BA-A06318C5CC2F}">
  <cacheSource type="external" connectionId="4"/>
  <cacheFields count="4">
    <cacheField name="[TB_Vendas].[Categoria].[Categoria]" caption="Categoria" numFmtId="0" hierarchy="14" level="1">
      <sharedItems count="3">
        <s v="Acessórios"/>
        <s v="Calçado"/>
        <s v="Vestuário"/>
      </sharedItems>
    </cacheField>
    <cacheField name="[Measures].[%Categoria]" caption="%Categoria" numFmtId="0" hierarchy="39" level="32767"/>
    <cacheField name="[Measures].[%Restante]" caption="%Restante" numFmtId="0" hierarchy="40" level="32767"/>
    <cacheField name="[Measures].[Soma de Total]" caption="Soma de Total" numFmtId="0" hierarchy="47" level="32767"/>
  </cacheFields>
  <cacheHierarchies count="52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2" memberValueDatatype="130" unbalanced="0">
      <fieldsUsage count="2">
        <fieldUsage x="-1"/>
        <fieldUsage x="0"/>
      </fieldsUsage>
    </cacheHierarchy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Vendas__2].[Data]" caption="Data" attribute="1" time="1" defaultMemberUniqueName="[Vendas__2].[Data].[All]" allUniqueName="[Vendas__2].[Data].[All]" dimensionUniqueName="[Vendas__2]" displayFolder="" count="0" memberValueDatatype="7" unbalanced="0"/>
    <cacheHierarchy uniqueName="[Vendas__2].[Código]" caption="Código" attribute="1" defaultMemberUniqueName="[Vendas__2].[Código].[All]" allUniqueName="[Vendas__2].[Código].[All]" dimensionUniqueName="[Vendas__2]" displayFolder="" count="0" memberValueDatatype="130" unbalanced="0"/>
    <cacheHierarchy uniqueName="[Vendas__2].[Categoria]" caption="Categoria" attribute="1" defaultMemberUniqueName="[Vendas__2].[Categoria].[All]" allUniqueName="[Vendas__2].[Categoria].[All]" dimensionUniqueName="[Vendas__2]" displayFolder="" count="0" memberValueDatatype="130" unbalanced="0"/>
    <cacheHierarchy uniqueName="[Vendas__2].[Qtd]" caption="Qtd" attribute="1" defaultMemberUniqueName="[Vendas__2].[Qtd].[All]" allUniqueName="[Vendas__2].[Qtd].[All]" dimensionUniqueName="[Vendas__2]" displayFolder="" count="0" memberValueDatatype="20" unbalanced="0"/>
    <cacheHierarchy uniqueName="[Vendas__2].[Preço Unitário]" caption="Preço Unitário" attribute="1" defaultMemberUniqueName="[Vendas__2].[Preço Unitário].[All]" allUniqueName="[Vendas__2].[Preço Unitário].[All]" dimensionUniqueName="[Vendas__2]" displayFolder="" count="0" memberValueDatatype="5" unbalanced="0"/>
    <cacheHierarchy uniqueName="[Vendas__2].[Desconto Final]" caption="Desconto Final" attribute="1" defaultMemberUniqueName="[Vendas__2].[Desconto Final].[All]" allUniqueName="[Vendas__2].[Desconto Final].[All]" dimensionUniqueName="[Vendas__2]" displayFolder="" count="0" memberValueDatatype="5" unbalanced="0"/>
    <cacheHierarchy uniqueName="[Vendas__2].[Total]" caption="Total" attribute="1" defaultMemberUniqueName="[Vendas__2].[Total].[All]" allUniqueName="[Vendas__2].[Total].[All]" dimensionUniqueName="[Vendas__2]" displayFolder="" count="0" memberValueDatatype="5" unbalanced="0"/>
    <cacheHierarchy uniqueName="[Vendas__2].[Nome_Vend]" caption="Nome_Vend" attribute="1" defaultMemberUniqueName="[Vendas__2].[Nome_Vend].[All]" allUniqueName="[Vendas__2].[Nome_Vend].[All]" dimensionUniqueName="[Vendas__2]" displayFolder="" count="0" memberValueDatatype="130" unbalanced="0"/>
    <cacheHierarchy uniqueName="[Vendas__2].[Vendedor]" caption="Vendedor" attribute="1" defaultMemberUniqueName="[Vendas__2].[Vendedor].[All]" allUniqueName="[Vendas__2].[Vendedor].[All]" dimensionUniqueName="[Vendas__2]" displayFolder="" count="0" memberValueDatatype="130" unbalanced="0"/>
    <cacheHierarchy uniqueName="[Vendas__2].[Data (Ano)]" caption="Data (Ano)" attribute="1" defaultMemberUniqueName="[Vendas__2].[Data (Ano)].[All]" allUniqueName="[Vendas__2].[Data (Ano)].[All]" dimensionUniqueName="[Vendas__2]" displayFolder="" count="0" memberValueDatatype="130" unbalanced="0"/>
    <cacheHierarchy uniqueName="[Vendas__2].[Data (Trimestre)]" caption="Data (Trimestre)" attribute="1" defaultMemberUniqueName="[Vendas__2].[Data (Trimestre)].[All]" allUniqueName="[Vendas__2].[Data (Trimestre)].[All]" dimensionUniqueName="[Vendas__2]" displayFolder="" count="0" memberValueDatatype="130" unbalanced="0"/>
    <cacheHierarchy uniqueName="[Vendas__2].[Data (Mês)]" caption="Data (Mês)" attribute="1" defaultMemberUniqueName="[Vendas__2].[Data (Mês)].[All]" allUniqueName="[Vendas__2].[Data (Mês)].[All]" dimensionUniqueName="[Vendas__2]" displayFolder="" count="0" memberValueDatatype="130" unbalanced="0"/>
    <cacheHierarchy uniqueName="[Vendas__2].[Data (Índice de Mês)]" caption="Data (Índice de Mês)" attribute="1" defaultMemberUniqueName="[Vendas__2].[Data (Índice de Mês)].[All]" allUniqueName="[Vendas__2].[Data (Índice de Mês)].[All]" dimensionUniqueName="[Vendas__2]" displayFolder="" count="0" memberValueDatatype="20" unbalanced="0" hidden="1"/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Categoria]" caption="%Categoria" measure="1" displayFolder="" measureGroup="TB_Vendas" count="0" oneField="1">
      <fieldsUsage count="1">
        <fieldUsage x="1"/>
      </fieldsUsage>
    </cacheHierarchy>
    <cacheHierarchy uniqueName="[Measures].[%Restante]" caption="%Restante" measure="1" displayFolder="" measureGroup="TB_Vendas" count="0" oneField="1">
      <fieldsUsage count="1">
        <fieldUsage x="2"/>
      </fieldsUsage>
    </cacheHierarchy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Vendas__2]" caption="__XL_Count Vendas__2" measure="1" displayFolder="" measureGroup="Vendas__2" count="0" hidden="1"/>
    <cacheHierarchy uniqueName="[Measures].[__No measures defined]" caption="__No measures defined" measure="1" displayFolder="" count="0" hidden="1"/>
    <cacheHierarchy uniqueName="[Measures].[Soma de Qtd]" caption="Soma de Qtd" measure="1" displayFolder="" measureGroup="TB_Vend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Total]" caption="Soma de Total" measure="1" displayFolder="" measureGroup="TB_Vendas" count="0" oneField="1" hidden="1">
      <fieldsUsage count="1">
        <fieldUsage x="3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Preço Unitário]" caption="Soma de Preço Unitário" measure="1" displayFolder="" measureGroup="TB_Venda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Vendedor 2]" caption="Contagem de Vendedor 2" measure="1" displayFolder="" measureGroup="Interval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Total 2]" caption="Soma de Total 2" measure="1" displayFolder="" measureGroup="Vendas__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Vendas__2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Vendas__2" uniqueName="[Vendas__2]" caption="Vendas__2"/>
  </dimensions>
  <measureGroups count="4">
    <measureGroup name="Intervalo" caption="Intervalo"/>
    <measureGroup name="TB_Produtos" caption="TB_Produtos"/>
    <measureGroup name="TB_Vendas" caption="TB_Vendas"/>
    <measureGroup name="Vendas__2" caption="Vendas__2"/>
  </measureGroups>
  <maps count="6">
    <map measureGroup="0" dimension="0"/>
    <map measureGroup="1" dimension="2"/>
    <map measureGroup="2" dimension="0"/>
    <map measureGroup="2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4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fraim Melo" refreshedDate="45706.890529976852" backgroundQuery="1" createdVersion="8" refreshedVersion="8" minRefreshableVersion="3" recordCount="0" supportSubquery="1" supportAdvancedDrill="1" xr:uid="{16796959-C13C-4EF2-9CC7-FADEABF2F566}">
  <cacheSource type="external" connectionId="4"/>
  <cacheFields count="2">
    <cacheField name="[Intervalo].[Vendedor].[Vendedor]" caption="Vendedor" numFmtId="0" hierarchy="1" level="1">
      <sharedItems count="5">
        <s v="Amanda"/>
        <s v="Bruno"/>
        <s v="Clara"/>
        <s v="João"/>
        <s v="Sarah"/>
      </sharedItems>
    </cacheField>
    <cacheField name="[Measures].[Soma de Total]" caption="Soma de Total" numFmtId="0" hierarchy="47" level="32767"/>
  </cacheFields>
  <cacheHierarchies count="52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0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Vendas__2].[Data]" caption="Data" attribute="1" time="1" defaultMemberUniqueName="[Vendas__2].[Data].[All]" allUniqueName="[Vendas__2].[Data].[All]" dimensionUniqueName="[Vendas__2]" displayFolder="" count="0" memberValueDatatype="7" unbalanced="0"/>
    <cacheHierarchy uniqueName="[Vendas__2].[Código]" caption="Código" attribute="1" defaultMemberUniqueName="[Vendas__2].[Código].[All]" allUniqueName="[Vendas__2].[Código].[All]" dimensionUniqueName="[Vendas__2]" displayFolder="" count="0" memberValueDatatype="130" unbalanced="0"/>
    <cacheHierarchy uniqueName="[Vendas__2].[Categoria]" caption="Categoria" attribute="1" defaultMemberUniqueName="[Vendas__2].[Categoria].[All]" allUniqueName="[Vendas__2].[Categoria].[All]" dimensionUniqueName="[Vendas__2]" displayFolder="" count="0" memberValueDatatype="130" unbalanced="0"/>
    <cacheHierarchy uniqueName="[Vendas__2].[Qtd]" caption="Qtd" attribute="1" defaultMemberUniqueName="[Vendas__2].[Qtd].[All]" allUniqueName="[Vendas__2].[Qtd].[All]" dimensionUniqueName="[Vendas__2]" displayFolder="" count="0" memberValueDatatype="20" unbalanced="0"/>
    <cacheHierarchy uniqueName="[Vendas__2].[Preço Unitário]" caption="Preço Unitário" attribute="1" defaultMemberUniqueName="[Vendas__2].[Preço Unitário].[All]" allUniqueName="[Vendas__2].[Preço Unitário].[All]" dimensionUniqueName="[Vendas__2]" displayFolder="" count="0" memberValueDatatype="5" unbalanced="0"/>
    <cacheHierarchy uniqueName="[Vendas__2].[Desconto Final]" caption="Desconto Final" attribute="1" defaultMemberUniqueName="[Vendas__2].[Desconto Final].[All]" allUniqueName="[Vendas__2].[Desconto Final].[All]" dimensionUniqueName="[Vendas__2]" displayFolder="" count="0" memberValueDatatype="5" unbalanced="0"/>
    <cacheHierarchy uniqueName="[Vendas__2].[Total]" caption="Total" attribute="1" defaultMemberUniqueName="[Vendas__2].[Total].[All]" allUniqueName="[Vendas__2].[Total].[All]" dimensionUniqueName="[Vendas__2]" displayFolder="" count="0" memberValueDatatype="5" unbalanced="0"/>
    <cacheHierarchy uniqueName="[Vendas__2].[Nome_Vend]" caption="Nome_Vend" attribute="1" defaultMemberUniqueName="[Vendas__2].[Nome_Vend].[All]" allUniqueName="[Vendas__2].[Nome_Vend].[All]" dimensionUniqueName="[Vendas__2]" displayFolder="" count="0" memberValueDatatype="130" unbalanced="0"/>
    <cacheHierarchy uniqueName="[Vendas__2].[Vendedor]" caption="Vendedor" attribute="1" defaultMemberUniqueName="[Vendas__2].[Vendedor].[All]" allUniqueName="[Vendas__2].[Vendedor].[All]" dimensionUniqueName="[Vendas__2]" displayFolder="" count="0" memberValueDatatype="130" unbalanced="0"/>
    <cacheHierarchy uniqueName="[Vendas__2].[Data (Ano)]" caption="Data (Ano)" attribute="1" defaultMemberUniqueName="[Vendas__2].[Data (Ano)].[All]" allUniqueName="[Vendas__2].[Data (Ano)].[All]" dimensionUniqueName="[Vendas__2]" displayFolder="" count="0" memberValueDatatype="130" unbalanced="0"/>
    <cacheHierarchy uniqueName="[Vendas__2].[Data (Trimestre)]" caption="Data (Trimestre)" attribute="1" defaultMemberUniqueName="[Vendas__2].[Data (Trimestre)].[All]" allUniqueName="[Vendas__2].[Data (Trimestre)].[All]" dimensionUniqueName="[Vendas__2]" displayFolder="" count="0" memberValueDatatype="130" unbalanced="0"/>
    <cacheHierarchy uniqueName="[Vendas__2].[Data (Mês)]" caption="Data (Mês)" attribute="1" defaultMemberUniqueName="[Vendas__2].[Data (Mês)].[All]" allUniqueName="[Vendas__2].[Data (Mês)].[All]" dimensionUniqueName="[Vendas__2]" displayFolder="" count="0" memberValueDatatype="130" unbalanced="0"/>
    <cacheHierarchy uniqueName="[Vendas__2].[Data (Índice de Mês)]" caption="Data (Índice de Mês)" attribute="1" defaultMemberUniqueName="[Vendas__2].[Data (Índice de Mês)].[All]" allUniqueName="[Vendas__2].[Data (Índice de Mês)].[All]" dimensionUniqueName="[Vendas__2]" displayFolder="" count="0" memberValueDatatype="20" unbalanced="0" hidden="1"/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Categoria]" caption="%Categoria" measure="1" displayFolder="" measureGroup="TB_Vendas" count="0"/>
    <cacheHierarchy uniqueName="[Measures].[%Restante]" caption="%Restante" measure="1" displayFolder="" measureGroup="TB_Vendas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Vendas__2]" caption="__XL_Count Vendas__2" measure="1" displayFolder="" measureGroup="Vendas__2" count="0" hidden="1"/>
    <cacheHierarchy uniqueName="[Measures].[__No measures defined]" caption="__No measures defined" measure="1" displayFolder="" count="0" hidden="1"/>
    <cacheHierarchy uniqueName="[Measures].[Soma de Qtd]" caption="Soma de Qtd" measure="1" displayFolder="" measureGroup="TB_Vend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Total]" caption="Soma de Total" measure="1" displayFolder="" measureGroup="TB_Vendas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Preço Unitário]" caption="Soma de Preço Unitário" measure="1" displayFolder="" measureGroup="TB_Venda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Vendedor 2]" caption="Contagem de Vendedor 2" measure="1" displayFolder="" measureGroup="Interval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Total 2]" caption="Soma de Total 2" measure="1" displayFolder="" measureGroup="Vendas__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Vendas__2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Vendas__2" uniqueName="[Vendas__2]" caption="Vendas__2"/>
  </dimensions>
  <measureGroups count="4">
    <measureGroup name="Intervalo" caption="Intervalo"/>
    <measureGroup name="TB_Produtos" caption="TB_Produtos"/>
    <measureGroup name="TB_Vendas" caption="TB_Vendas"/>
    <measureGroup name="Vendas__2" caption="Vendas__2"/>
  </measureGroups>
  <maps count="6">
    <map measureGroup="0" dimension="0"/>
    <map measureGroup="1" dimension="2"/>
    <map measureGroup="2" dimension="0"/>
    <map measureGroup="2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5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fraim Melo" refreshedDate="45706.890535416664" backgroundQuery="1" createdVersion="8" refreshedVersion="8" minRefreshableVersion="3" recordCount="0" supportSubquery="1" supportAdvancedDrill="1" xr:uid="{656FC67B-58E9-4A19-92DA-0936441D9053}">
  <cacheSource type="external" connectionId="4"/>
  <cacheFields count="3">
    <cacheField name="[Vendas__2].[Nome_Vend].[Nome_Vend]" caption="Nome_Vend" numFmtId="0" hierarchy="31" level="1">
      <sharedItems count="5">
        <s v="Amanda"/>
        <s v="Bruno"/>
        <s v="Clara"/>
        <s v="João"/>
        <s v="Sarah"/>
      </sharedItems>
    </cacheField>
    <cacheField name="[Intervalo].[Vendedor].[Vendedor]" caption="Vendedor" numFmtId="0" hierarchy="1" level="1">
      <sharedItems containsSemiMixedTypes="0" containsNonDate="0" containsString="0"/>
    </cacheField>
    <cacheField name="[Measures].[Soma de Total 2]" caption="Soma de Total 2" numFmtId="0" hierarchy="50" level="32767"/>
  </cacheFields>
  <cacheHierarchies count="52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2" memberValueDatatype="130" unbalanced="0">
      <fieldsUsage count="2">
        <fieldUsage x="-1"/>
        <fieldUsage x="1"/>
      </fieldsUsage>
    </cacheHierarchy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Vendas__2].[Data]" caption="Data" attribute="1" time="1" defaultMemberUniqueName="[Vendas__2].[Data].[All]" allUniqueName="[Vendas__2].[Data].[All]" dimensionUniqueName="[Vendas__2]" displayFolder="" count="0" memberValueDatatype="7" unbalanced="0"/>
    <cacheHierarchy uniqueName="[Vendas__2].[Código]" caption="Código" attribute="1" defaultMemberUniqueName="[Vendas__2].[Código].[All]" allUniqueName="[Vendas__2].[Código].[All]" dimensionUniqueName="[Vendas__2]" displayFolder="" count="0" memberValueDatatype="130" unbalanced="0"/>
    <cacheHierarchy uniqueName="[Vendas__2].[Categoria]" caption="Categoria" attribute="1" defaultMemberUniqueName="[Vendas__2].[Categoria].[All]" allUniqueName="[Vendas__2].[Categoria].[All]" dimensionUniqueName="[Vendas__2]" displayFolder="" count="0" memberValueDatatype="130" unbalanced="0"/>
    <cacheHierarchy uniqueName="[Vendas__2].[Qtd]" caption="Qtd" attribute="1" defaultMemberUniqueName="[Vendas__2].[Qtd].[All]" allUniqueName="[Vendas__2].[Qtd].[All]" dimensionUniqueName="[Vendas__2]" displayFolder="" count="0" memberValueDatatype="20" unbalanced="0"/>
    <cacheHierarchy uniqueName="[Vendas__2].[Preço Unitário]" caption="Preço Unitário" attribute="1" defaultMemberUniqueName="[Vendas__2].[Preço Unitário].[All]" allUniqueName="[Vendas__2].[Preço Unitário].[All]" dimensionUniqueName="[Vendas__2]" displayFolder="" count="0" memberValueDatatype="5" unbalanced="0"/>
    <cacheHierarchy uniqueName="[Vendas__2].[Desconto Final]" caption="Desconto Final" attribute="1" defaultMemberUniqueName="[Vendas__2].[Desconto Final].[All]" allUniqueName="[Vendas__2].[Desconto Final].[All]" dimensionUniqueName="[Vendas__2]" displayFolder="" count="0" memberValueDatatype="5" unbalanced="0"/>
    <cacheHierarchy uniqueName="[Vendas__2].[Total]" caption="Total" attribute="1" defaultMemberUniqueName="[Vendas__2].[Total].[All]" allUniqueName="[Vendas__2].[Total].[All]" dimensionUniqueName="[Vendas__2]" displayFolder="" count="0" memberValueDatatype="5" unbalanced="0"/>
    <cacheHierarchy uniqueName="[Vendas__2].[Nome_Vend]" caption="Nome_Vend" attribute="1" defaultMemberUniqueName="[Vendas__2].[Nome_Vend].[All]" allUniqueName="[Vendas__2].[Nome_Vend].[All]" dimensionUniqueName="[Vendas__2]" displayFolder="" count="2" memberValueDatatype="130" unbalanced="0">
      <fieldsUsage count="2">
        <fieldUsage x="-1"/>
        <fieldUsage x="0"/>
      </fieldsUsage>
    </cacheHierarchy>
    <cacheHierarchy uniqueName="[Vendas__2].[Vendedor]" caption="Vendedor" attribute="1" defaultMemberUniqueName="[Vendas__2].[Vendedor].[All]" allUniqueName="[Vendas__2].[Vendedor].[All]" dimensionUniqueName="[Vendas__2]" displayFolder="" count="0" memberValueDatatype="130" unbalanced="0"/>
    <cacheHierarchy uniqueName="[Vendas__2].[Data (Ano)]" caption="Data (Ano)" attribute="1" defaultMemberUniqueName="[Vendas__2].[Data (Ano)].[All]" allUniqueName="[Vendas__2].[Data (Ano)].[All]" dimensionUniqueName="[Vendas__2]" displayFolder="" count="0" memberValueDatatype="130" unbalanced="0"/>
    <cacheHierarchy uniqueName="[Vendas__2].[Data (Trimestre)]" caption="Data (Trimestre)" attribute="1" defaultMemberUniqueName="[Vendas__2].[Data (Trimestre)].[All]" allUniqueName="[Vendas__2].[Data (Trimestre)].[All]" dimensionUniqueName="[Vendas__2]" displayFolder="" count="0" memberValueDatatype="130" unbalanced="0"/>
    <cacheHierarchy uniqueName="[Vendas__2].[Data (Mês)]" caption="Data (Mês)" attribute="1" defaultMemberUniqueName="[Vendas__2].[Data (Mês)].[All]" allUniqueName="[Vendas__2].[Data (Mês)].[All]" dimensionUniqueName="[Vendas__2]" displayFolder="" count="0" memberValueDatatype="130" unbalanced="0"/>
    <cacheHierarchy uniqueName="[Vendas__2].[Data (Índice de Mês)]" caption="Data (Índice de Mês)" attribute="1" defaultMemberUniqueName="[Vendas__2].[Data (Índice de Mês)].[All]" allUniqueName="[Vendas__2].[Data (Índice de Mês)].[All]" dimensionUniqueName="[Vendas__2]" displayFolder="" count="0" memberValueDatatype="20" unbalanced="0" hidden="1"/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Categoria]" caption="%Categoria" measure="1" displayFolder="" measureGroup="TB_Vendas" count="0"/>
    <cacheHierarchy uniqueName="[Measures].[%Restante]" caption="%Restante" measure="1" displayFolder="" measureGroup="TB_Vendas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Vendas__2]" caption="__XL_Count Vendas__2" measure="1" displayFolder="" measureGroup="Vendas__2" count="0" hidden="1"/>
    <cacheHierarchy uniqueName="[Measures].[__No measures defined]" caption="__No measures defined" measure="1" displayFolder="" count="0" hidden="1"/>
    <cacheHierarchy uniqueName="[Measures].[Soma de Qtd]" caption="Soma de Qtd" measure="1" displayFolder="" measureGroup="TB_Vend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Total]" caption="Soma de Total" measure="1" displayFolder="" measureGroup="TB_Venda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Preço Unitário]" caption="Soma de Preço Unitário" measure="1" displayFolder="" measureGroup="TB_Venda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Vendedor 2]" caption="Contagem de Vendedor 2" measure="1" displayFolder="" measureGroup="Interval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Total 2]" caption="Soma de Total 2" measure="1" displayFolder="" measureGroup="Vendas__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Vendas__2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Vendas__2" uniqueName="[Vendas__2]" caption="Vendas__2"/>
  </dimensions>
  <measureGroups count="4">
    <measureGroup name="Intervalo" caption="Intervalo"/>
    <measureGroup name="TB_Produtos" caption="TB_Produtos"/>
    <measureGroup name="TB_Vendas" caption="TB_Vendas"/>
    <measureGroup name="Vendas__2" caption="Vendas__2"/>
  </measureGroups>
  <maps count="6">
    <map measureGroup="0" dimension="0"/>
    <map measureGroup="1" dimension="2"/>
    <map measureGroup="2" dimension="0"/>
    <map measureGroup="2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6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fraim Melo" refreshedDate="45706.890536458333" createdVersion="8" refreshedVersion="8" minRefreshableVersion="3" recordCount="0" supportSubquery="1" supportAdvancedDrill="1" xr:uid="{DBED5AEA-AD06-446D-87AB-5B67D5E96C8B}">
  <cacheSource type="external" connectionId="4"/>
  <cacheFields count="3">
    <cacheField name="[Vendas__2].[Categoria].[Categoria]" caption="Categoria" numFmtId="0" hierarchy="26" level="1">
      <sharedItems count="3">
        <s v="Acessórios"/>
        <s v="Calçado"/>
        <s v="Vestuário"/>
      </sharedItems>
    </cacheField>
    <cacheField name="[Measures].[Soma de Total 2]" caption="Soma de Total 2" numFmtId="0" hierarchy="50" level="32767"/>
    <cacheField name="[TB_Produtos].[Categoria].[Categoria]" caption="Categoria" numFmtId="0" hierarchy="7" level="1">
      <sharedItems containsSemiMixedTypes="0" containsNonDate="0" containsString="0"/>
    </cacheField>
  </cacheFields>
  <cacheHierarchies count="52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2" memberValueDatatype="130" unbalanced="0">
      <fieldsUsage count="2">
        <fieldUsage x="-1"/>
        <fieldUsage x="2"/>
      </fieldsUsage>
    </cacheHierarchy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Vendas__2].[Data]" caption="Data" attribute="1" time="1" defaultMemberUniqueName="[Vendas__2].[Data].[All]" allUniqueName="[Vendas__2].[Data].[All]" dimensionUniqueName="[Vendas__2]" displayFolder="" count="0" memberValueDatatype="7" unbalanced="0"/>
    <cacheHierarchy uniqueName="[Vendas__2].[Código]" caption="Código" attribute="1" defaultMemberUniqueName="[Vendas__2].[Código].[All]" allUniqueName="[Vendas__2].[Código].[All]" dimensionUniqueName="[Vendas__2]" displayFolder="" count="0" memberValueDatatype="130" unbalanced="0"/>
    <cacheHierarchy uniqueName="[Vendas__2].[Categoria]" caption="Categoria" attribute="1" defaultMemberUniqueName="[Vendas__2].[Categoria].[All]" allUniqueName="[Vendas__2].[Categoria].[All]" dimensionUniqueName="[Vendas__2]" displayFolder="" count="2" memberValueDatatype="130" unbalanced="0">
      <fieldsUsage count="2">
        <fieldUsage x="-1"/>
        <fieldUsage x="0"/>
      </fieldsUsage>
    </cacheHierarchy>
    <cacheHierarchy uniqueName="[Vendas__2].[Qtd]" caption="Qtd" attribute="1" defaultMemberUniqueName="[Vendas__2].[Qtd].[All]" allUniqueName="[Vendas__2].[Qtd].[All]" dimensionUniqueName="[Vendas__2]" displayFolder="" count="0" memberValueDatatype="20" unbalanced="0"/>
    <cacheHierarchy uniqueName="[Vendas__2].[Preço Unitário]" caption="Preço Unitário" attribute="1" defaultMemberUniqueName="[Vendas__2].[Preço Unitário].[All]" allUniqueName="[Vendas__2].[Preço Unitário].[All]" dimensionUniqueName="[Vendas__2]" displayFolder="" count="0" memberValueDatatype="5" unbalanced="0"/>
    <cacheHierarchy uniqueName="[Vendas__2].[Desconto Final]" caption="Desconto Final" attribute="1" defaultMemberUniqueName="[Vendas__2].[Desconto Final].[All]" allUniqueName="[Vendas__2].[Desconto Final].[All]" dimensionUniqueName="[Vendas__2]" displayFolder="" count="0" memberValueDatatype="5" unbalanced="0"/>
    <cacheHierarchy uniqueName="[Vendas__2].[Total]" caption="Total" attribute="1" defaultMemberUniqueName="[Vendas__2].[Total].[All]" allUniqueName="[Vendas__2].[Total].[All]" dimensionUniqueName="[Vendas__2]" displayFolder="" count="0" memberValueDatatype="5" unbalanced="0"/>
    <cacheHierarchy uniqueName="[Vendas__2].[Nome_Vend]" caption="Nome_Vend" attribute="1" defaultMemberUniqueName="[Vendas__2].[Nome_Vend].[All]" allUniqueName="[Vendas__2].[Nome_Vend].[All]" dimensionUniqueName="[Vendas__2]" displayFolder="" count="0" memberValueDatatype="130" unbalanced="0"/>
    <cacheHierarchy uniqueName="[Vendas__2].[Vendedor]" caption="Vendedor" attribute="1" defaultMemberUniqueName="[Vendas__2].[Vendedor].[All]" allUniqueName="[Vendas__2].[Vendedor].[All]" dimensionUniqueName="[Vendas__2]" displayFolder="" count="0" memberValueDatatype="130" unbalanced="0"/>
    <cacheHierarchy uniqueName="[Vendas__2].[Data (Ano)]" caption="Data (Ano)" attribute="1" defaultMemberUniqueName="[Vendas__2].[Data (Ano)].[All]" allUniqueName="[Vendas__2].[Data (Ano)].[All]" dimensionUniqueName="[Vendas__2]" displayFolder="" count="0" memberValueDatatype="130" unbalanced="0"/>
    <cacheHierarchy uniqueName="[Vendas__2].[Data (Trimestre)]" caption="Data (Trimestre)" attribute="1" defaultMemberUniqueName="[Vendas__2].[Data (Trimestre)].[All]" allUniqueName="[Vendas__2].[Data (Trimestre)].[All]" dimensionUniqueName="[Vendas__2]" displayFolder="" count="0" memberValueDatatype="130" unbalanced="0"/>
    <cacheHierarchy uniqueName="[Vendas__2].[Data (Mês)]" caption="Data (Mês)" attribute="1" defaultMemberUniqueName="[Vendas__2].[Data (Mês)].[All]" allUniqueName="[Vendas__2].[Data (Mês)].[All]" dimensionUniqueName="[Vendas__2]" displayFolder="" count="0" memberValueDatatype="130" unbalanced="0"/>
    <cacheHierarchy uniqueName="[Vendas__2].[Data (Índice de Mês)]" caption="Data (Índice de Mês)" attribute="1" defaultMemberUniqueName="[Vendas__2].[Data (Índice de Mês)].[All]" allUniqueName="[Vendas__2].[Data (Índice de Mês)].[All]" dimensionUniqueName="[Vendas__2]" displayFolder="" count="0" memberValueDatatype="20" unbalanced="0" hidden="1"/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Categoria]" caption="%Categoria" measure="1" displayFolder="" measureGroup="TB_Vendas" count="0"/>
    <cacheHierarchy uniqueName="[Measures].[%Restante]" caption="%Restante" measure="1" displayFolder="" measureGroup="TB_Vendas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Vendas__2]" caption="__XL_Count Vendas__2" measure="1" displayFolder="" measureGroup="Vendas__2" count="0" hidden="1"/>
    <cacheHierarchy uniqueName="[Measures].[__No measures defined]" caption="__No measures defined" measure="1" displayFolder="" count="0" hidden="1"/>
    <cacheHierarchy uniqueName="[Measures].[Soma de Qtd]" caption="Soma de Qtd" measure="1" displayFolder="" measureGroup="TB_Vend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Total]" caption="Soma de Total" measure="1" displayFolder="" measureGroup="TB_Venda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Preço Unitário]" caption="Soma de Preço Unitário" measure="1" displayFolder="" measureGroup="TB_Venda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Vendedor 2]" caption="Contagem de Vendedor 2" measure="1" displayFolder="" measureGroup="Interval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Total 2]" caption="Soma de Total 2" measure="1" displayFolder="" measureGroup="Vendas__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Vendas__2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Vendas__2" uniqueName="[Vendas__2]" caption="Vendas__2"/>
  </dimensions>
  <measureGroups count="4">
    <measureGroup name="Intervalo" caption="Intervalo"/>
    <measureGroup name="TB_Produtos" caption="TB_Produtos"/>
    <measureGroup name="TB_Vendas" caption="TB_Vendas"/>
    <measureGroup name="Vendas__2" caption="Vendas__2"/>
  </measureGroups>
  <maps count="6">
    <map measureGroup="0" dimension="0"/>
    <map measureGroup="1" dimension="2"/>
    <map measureGroup="2" dimension="0"/>
    <map measureGroup="2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7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fraim Melo" refreshedDate="45706.89053877315" createdVersion="8" refreshedVersion="8" minRefreshableVersion="3" recordCount="0" supportSubquery="1" supportAdvancedDrill="1" xr:uid="{90A8863A-58F5-4B4D-BF7A-3C8B2B6A2E36}">
  <cacheSource type="external" connectionId="4"/>
  <cacheFields count="3">
    <cacheField name="[Vendas__2].[Data (Mês)].[Data (Mês)]" caption="Data (Mês)" numFmtId="0" hierarchy="35" level="1">
      <sharedItems count="12">
        <s v="jan"/>
        <s v="fev"/>
        <s v="mar"/>
        <s v="abr"/>
        <s v="mai"/>
        <s v="jun"/>
        <s v="jul"/>
        <s v="ago"/>
        <s v="set"/>
        <s v="out"/>
        <s v="nov"/>
        <s v="dez"/>
      </sharedItems>
    </cacheField>
    <cacheField name="[Measures].[Soma de Total 2]" caption="Soma de Total 2" numFmtId="0" hierarchy="50" level="32767"/>
    <cacheField name="[Measures].[Soma de Qtd 2]" caption="Soma de Qtd 2" numFmtId="0" hierarchy="51" level="32767"/>
  </cacheFields>
  <cacheHierarchies count="52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Vendas__2].[Data]" caption="Data" attribute="1" time="1" defaultMemberUniqueName="[Vendas__2].[Data].[All]" allUniqueName="[Vendas__2].[Data].[All]" dimensionUniqueName="[Vendas__2]" displayFolder="" count="2" memberValueDatatype="7" unbalanced="0"/>
    <cacheHierarchy uniqueName="[Vendas__2].[Código]" caption="Código" attribute="1" defaultMemberUniqueName="[Vendas__2].[Código].[All]" allUniqueName="[Vendas__2].[Código].[All]" dimensionUniqueName="[Vendas__2]" displayFolder="" count="0" memberValueDatatype="130" unbalanced="0"/>
    <cacheHierarchy uniqueName="[Vendas__2].[Categoria]" caption="Categoria" attribute="1" defaultMemberUniqueName="[Vendas__2].[Categoria].[All]" allUniqueName="[Vendas__2].[Categoria].[All]" dimensionUniqueName="[Vendas__2]" displayFolder="" count="0" memberValueDatatype="130" unbalanced="0"/>
    <cacheHierarchy uniqueName="[Vendas__2].[Qtd]" caption="Qtd" attribute="1" defaultMemberUniqueName="[Vendas__2].[Qtd].[All]" allUniqueName="[Vendas__2].[Qtd].[All]" dimensionUniqueName="[Vendas__2]" displayFolder="" count="0" memberValueDatatype="20" unbalanced="0"/>
    <cacheHierarchy uniqueName="[Vendas__2].[Preço Unitário]" caption="Preço Unitário" attribute="1" defaultMemberUniqueName="[Vendas__2].[Preço Unitário].[All]" allUniqueName="[Vendas__2].[Preço Unitário].[All]" dimensionUniqueName="[Vendas__2]" displayFolder="" count="0" memberValueDatatype="5" unbalanced="0"/>
    <cacheHierarchy uniqueName="[Vendas__2].[Desconto Final]" caption="Desconto Final" attribute="1" defaultMemberUniqueName="[Vendas__2].[Desconto Final].[All]" allUniqueName="[Vendas__2].[Desconto Final].[All]" dimensionUniqueName="[Vendas__2]" displayFolder="" count="0" memberValueDatatype="5" unbalanced="0"/>
    <cacheHierarchy uniqueName="[Vendas__2].[Total]" caption="Total" attribute="1" defaultMemberUniqueName="[Vendas__2].[Total].[All]" allUniqueName="[Vendas__2].[Total].[All]" dimensionUniqueName="[Vendas__2]" displayFolder="" count="0" memberValueDatatype="5" unbalanced="0"/>
    <cacheHierarchy uniqueName="[Vendas__2].[Nome_Vend]" caption="Nome_Vend" attribute="1" defaultMemberUniqueName="[Vendas__2].[Nome_Vend].[All]" allUniqueName="[Vendas__2].[Nome_Vend].[All]" dimensionUniqueName="[Vendas__2]" displayFolder="" count="0" memberValueDatatype="130" unbalanced="0"/>
    <cacheHierarchy uniqueName="[Vendas__2].[Vendedor]" caption="Vendedor" attribute="1" defaultMemberUniqueName="[Vendas__2].[Vendedor].[All]" allUniqueName="[Vendas__2].[Vendedor].[All]" dimensionUniqueName="[Vendas__2]" displayFolder="" count="0" memberValueDatatype="130" unbalanced="0"/>
    <cacheHierarchy uniqueName="[Vendas__2].[Data (Ano)]" caption="Data (Ano)" attribute="1" defaultMemberUniqueName="[Vendas__2].[Data (Ano)].[All]" allUniqueName="[Vendas__2].[Data (Ano)].[All]" dimensionUniqueName="[Vendas__2]" displayFolder="" count="0" memberValueDatatype="130" unbalanced="0"/>
    <cacheHierarchy uniqueName="[Vendas__2].[Data (Trimestre)]" caption="Data (Trimestre)" attribute="1" defaultMemberUniqueName="[Vendas__2].[Data (Trimestre)].[All]" allUniqueName="[Vendas__2].[Data (Trimestre)].[All]" dimensionUniqueName="[Vendas__2]" displayFolder="" count="0" memberValueDatatype="130" unbalanced="0"/>
    <cacheHierarchy uniqueName="[Vendas__2].[Data (Mês)]" caption="Data (Mês)" attribute="1" defaultMemberUniqueName="[Vendas__2].[Data (Mês)].[All]" allUniqueName="[Vendas__2].[Data (Mês)].[All]" dimensionUniqueName="[Vendas__2]" displayFolder="" count="2" memberValueDatatype="130" unbalanced="0">
      <fieldsUsage count="2">
        <fieldUsage x="-1"/>
        <fieldUsage x="0"/>
      </fieldsUsage>
    </cacheHierarchy>
    <cacheHierarchy uniqueName="[Vendas__2].[Data (Índice de Mês)]" caption="Data (Índice de Mês)" attribute="1" defaultMemberUniqueName="[Vendas__2].[Data (Índice de Mês)].[All]" allUniqueName="[Vendas__2].[Data (Índice de Mês)].[All]" dimensionUniqueName="[Vendas__2]" displayFolder="" count="0" memberValueDatatype="20" unbalanced="0" hidden="1"/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Categoria]" caption="%Categoria" measure="1" displayFolder="" measureGroup="TB_Vendas" count="0"/>
    <cacheHierarchy uniqueName="[Measures].[%Restante]" caption="%Restante" measure="1" displayFolder="" measureGroup="TB_Vendas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Vendas__2]" caption="__XL_Count Vendas__2" measure="1" displayFolder="" measureGroup="Vendas__2" count="0" hidden="1"/>
    <cacheHierarchy uniqueName="[Measures].[__No measures defined]" caption="__No measures defined" measure="1" displayFolder="" count="0" hidden="1"/>
    <cacheHierarchy uniqueName="[Measures].[Soma de Qtd]" caption="Soma de Qtd" measure="1" displayFolder="" measureGroup="TB_Vend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Total]" caption="Soma de Total" measure="1" displayFolder="" measureGroup="TB_Venda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Preço Unitário]" caption="Soma de Preço Unitário" measure="1" displayFolder="" measureGroup="TB_Venda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Vendedor 2]" caption="Contagem de Vendedor 2" measure="1" displayFolder="" measureGroup="Interval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Total 2]" caption="Soma de Total 2" measure="1" displayFolder="" measureGroup="Vendas__2" count="0" oneField="1" hidden="1">
      <fieldsUsage count="1">
        <fieldUsage x="1"/>
      </fieldsUsage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Vendas__2" count="0" oneField="1" hidden="1">
      <fieldsUsage count="1">
        <fieldUsage x="2"/>
      </fieldsUsage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dimensions count="5">
    <dimension name="Intervalo" uniqueName="[Intervalo]" caption="Intervalo"/>
    <dimension measure="1" name="Measures" uniqueName="[Measures]" caption="Measures"/>
    <dimension name="TB_Produtos" uniqueName="[TB_Produtos]" caption="TB_Produtos"/>
    <dimension name="TB_Vendas" uniqueName="[TB_Vendas]" caption="TB_Vendas"/>
    <dimension name="Vendas__2" uniqueName="[Vendas__2]" caption="Vendas__2"/>
  </dimensions>
  <measureGroups count="4">
    <measureGroup name="Intervalo" caption="Intervalo"/>
    <measureGroup name="TB_Produtos" caption="TB_Produtos"/>
    <measureGroup name="TB_Vendas" caption="TB_Vendas"/>
    <measureGroup name="Vendas__2" caption="Vendas__2"/>
  </measureGroups>
  <maps count="6">
    <map measureGroup="0" dimension="0"/>
    <map measureGroup="1" dimension="2"/>
    <map measureGroup="2" dimension="0"/>
    <map measureGroup="2" dimension="2"/>
    <map measureGroup="2" dimension="3"/>
    <map measureGroup="3" dimension="4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Cache/pivotCacheDefinition8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r:id="rId1" refreshedBy="Efraim Melo" refreshedDate="45706.890539583335" createdVersion="8" refreshedVersion="8" minRefreshableVersion="3" recordCount="60" xr:uid="{7AB96658-ECC6-4382-87EF-AC22B432EE5C}">
  <cacheSource type="worksheet">
    <worksheetSource name="TB_Produtos"/>
  </cacheSource>
  <cacheFields count="6">
    <cacheField name="Código" numFmtId="0">
      <sharedItems/>
    </cacheField>
    <cacheField name="Produtos" numFmtId="0">
      <sharedItems count="26">
        <s v="Bermuda"/>
        <s v="Bolsa coringa"/>
        <s v="Bolsa de couro"/>
        <s v="Boné"/>
        <s v="Calça jeans"/>
        <s v="Calça legging"/>
        <s v="Camiseta Estampada"/>
        <s v="Camiseta Lisa"/>
        <s v="Camiseta Lisa "/>
        <s v="Cinto"/>
        <s v="Jaqueta couro"/>
        <s v="Jaqueta jeans"/>
        <s v="Óculos quadrado"/>
        <s v="Óculos redondo"/>
        <s v="Tênis Atitas"/>
        <s v="Tênis Chunky"/>
        <s v="Vestido curto"/>
        <s v="Vestido longo"/>
        <s v="Camiseta Conforto"/>
        <s v="Vestido Floral"/>
        <s v="Jaqueta de Couro"/>
        <s v="Camiseta Listrada"/>
        <s v="Saia Plissada"/>
        <s v="Sandália Rasteira"/>
        <s v="Calça Alfaiataria"/>
        <s v="Produto Novo" u="1"/>
      </sharedItems>
    </cacheField>
    <cacheField name="Tamanho" numFmtId="0">
      <sharedItems containsMixedTypes="1" containsNumber="1" containsInteger="1" minValue="35" maxValue="38"/>
    </cacheField>
    <cacheField name="Categoria" numFmtId="0">
      <sharedItems count="4">
        <s v="Vestuário"/>
        <s v="Acessórios"/>
        <s v="Calçado"/>
        <s v="Categoria Nova" u="1"/>
      </sharedItems>
    </cacheField>
    <cacheField name="Estoque" numFmtId="0">
      <sharedItems containsSemiMixedTypes="0" containsString="0" containsNumber="1" containsInteger="1" minValue="0" maxValue="50"/>
    </cacheField>
    <cacheField name="Preço Unitário" numFmtId="0">
      <sharedItems containsSemiMixedTypes="0" containsString="0" containsNumber="1" minValue="25.9" maxValue="349.9"/>
    </cacheField>
  </cacheFields>
  <extLst>
    <ext xmlns:x14="http://schemas.microsoft.com/office/spreadsheetml/2009/9/main" uri="{725AE2AE-9491-48be-B2B4-4EB974FC3084}">
      <x14:pivotCacheDefinition pivotCacheId="188848658"/>
    </ext>
  </extLst>
</pivotCacheDefinition>
</file>

<file path=xl/pivotCache/pivotCacheDefinition9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fraim Melo" refreshedDate="45706.890524768518" backgroundQuery="1" createdVersion="3" refreshedVersion="8" minRefreshableVersion="3" recordCount="0" supportSubquery="1" supportAdvancedDrill="1" xr:uid="{04792187-23BB-4D46-81A4-B120A8345DAA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2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2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Vendas__2].[Data]" caption="Data" attribute="1" time="1" defaultMemberUniqueName="[Vendas__2].[Data].[All]" allUniqueName="[Vendas__2].[Data].[All]" dimensionUniqueName="[Vendas__2]" displayFolder="" count="0" memberValueDatatype="7" unbalanced="0"/>
    <cacheHierarchy uniqueName="[Vendas__2].[Código]" caption="Código" attribute="1" defaultMemberUniqueName="[Vendas__2].[Código].[All]" allUniqueName="[Vendas__2].[Código].[All]" dimensionUniqueName="[Vendas__2]" displayFolder="" count="0" memberValueDatatype="130" unbalanced="0"/>
    <cacheHierarchy uniqueName="[Vendas__2].[Categoria]" caption="Categoria" attribute="1" defaultMemberUniqueName="[Vendas__2].[Categoria].[All]" allUniqueName="[Vendas__2].[Categoria].[All]" dimensionUniqueName="[Vendas__2]" displayFolder="" count="0" memberValueDatatype="130" unbalanced="0"/>
    <cacheHierarchy uniqueName="[Vendas__2].[Qtd]" caption="Qtd" attribute="1" defaultMemberUniqueName="[Vendas__2].[Qtd].[All]" allUniqueName="[Vendas__2].[Qtd].[All]" dimensionUniqueName="[Vendas__2]" displayFolder="" count="0" memberValueDatatype="20" unbalanced="0"/>
    <cacheHierarchy uniqueName="[Vendas__2].[Preço Unitário]" caption="Preço Unitário" attribute="1" defaultMemberUniqueName="[Vendas__2].[Preço Unitário].[All]" allUniqueName="[Vendas__2].[Preço Unitário].[All]" dimensionUniqueName="[Vendas__2]" displayFolder="" count="0" memberValueDatatype="5" unbalanced="0"/>
    <cacheHierarchy uniqueName="[Vendas__2].[Desconto Final]" caption="Desconto Final" attribute="1" defaultMemberUniqueName="[Vendas__2].[Desconto Final].[All]" allUniqueName="[Vendas__2].[Desconto Final].[All]" dimensionUniqueName="[Vendas__2]" displayFolder="" count="0" memberValueDatatype="5" unbalanced="0"/>
    <cacheHierarchy uniqueName="[Vendas__2].[Total]" caption="Total" attribute="1" defaultMemberUniqueName="[Vendas__2].[Total].[All]" allUniqueName="[Vendas__2].[Total].[All]" dimensionUniqueName="[Vendas__2]" displayFolder="" count="0" memberValueDatatype="5" unbalanced="0"/>
    <cacheHierarchy uniqueName="[Vendas__2].[Nome_Vend]" caption="Nome_Vend" attribute="1" defaultMemberUniqueName="[Vendas__2].[Nome_Vend].[All]" allUniqueName="[Vendas__2].[Nome_Vend].[All]" dimensionUniqueName="[Vendas__2]" displayFolder="" count="0" memberValueDatatype="130" unbalanced="0"/>
    <cacheHierarchy uniqueName="[Vendas__2].[Vendedor]" caption="Vendedor" attribute="1" defaultMemberUniqueName="[Vendas__2].[Vendedor].[All]" allUniqueName="[Vendas__2].[Vendedor].[All]" dimensionUniqueName="[Vendas__2]" displayFolder="" count="0" memberValueDatatype="130" unbalanced="0"/>
    <cacheHierarchy uniqueName="[Vendas__2].[Data (Ano)]" caption="Data (Ano)" attribute="1" defaultMemberUniqueName="[Vendas__2].[Data (Ano)].[All]" allUniqueName="[Vendas__2].[Data (Ano)].[All]" dimensionUniqueName="[Vendas__2]" displayFolder="" count="0" memberValueDatatype="130" unbalanced="0"/>
    <cacheHierarchy uniqueName="[Vendas__2].[Data (Trimestre)]" caption="Data (Trimestre)" attribute="1" defaultMemberUniqueName="[Vendas__2].[Data (Trimestre)].[All]" allUniqueName="[Vendas__2].[Data (Trimestre)].[All]" dimensionUniqueName="[Vendas__2]" displayFolder="" count="0" memberValueDatatype="130" unbalanced="0"/>
    <cacheHierarchy uniqueName="[Vendas__2].[Data (Mês)]" caption="Data (Mês)" attribute="1" defaultMemberUniqueName="[Vendas__2].[Data (Mês)].[All]" allUniqueName="[Vendas__2].[Data (Mês)].[All]" dimensionUniqueName="[Vendas__2]" displayFolder="" count="0" memberValueDatatype="130" unbalanced="0"/>
    <cacheHierarchy uniqueName="[Vendas__2].[Data (Índice de Mês)]" caption="Data (Índice de Mês)" attribute="1" defaultMemberUniqueName="[Vendas__2].[Data (Índice de Mês)].[All]" allUniqueName="[Vendas__2].[Data (Índice de Mês)].[All]" dimensionUniqueName="[Vendas__2]" displayFolder="" count="0" memberValueDatatype="20" unbalanced="0" hidden="1"/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Categoria]" caption="%Categoria" measure="1" displayFolder="" measureGroup="TB_Vendas" count="0"/>
    <cacheHierarchy uniqueName="[Measures].[%Restante]" caption="%Restante" measure="1" displayFolder="" measureGroup="TB_Vendas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Vendas__2]" caption="__XL_Count Vendas__2" measure="1" displayFolder="" measureGroup="Vendas__2" count="0" hidden="1"/>
    <cacheHierarchy uniqueName="[Measures].[__No measures defined]" caption="__No measures defined" measure="1" displayFolder="" count="0" hidden="1"/>
    <cacheHierarchy uniqueName="[Measures].[Soma de Qtd]" caption="Soma de Qtd" measure="1" displayFolder="" measureGroup="TB_Vend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Total]" caption="Soma de Total" measure="1" displayFolder="" measureGroup="TB_Venda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Preço Unitário]" caption="Soma de Preço Unitário" measure="1" displayFolder="" measureGroup="TB_Venda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Vendedor 2]" caption="Contagem de Vendedor 2" measure="1" displayFolder="" measureGroup="Interval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Total 2]" caption="Soma de Total 2" measure="1" displayFolder="" measureGroup="Vendas__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Vendas__2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extLst>
    <ext xmlns:x14="http://schemas.microsoft.com/office/spreadsheetml/2009/9/main" uri="{725AE2AE-9491-48be-B2B4-4EB974FC3084}">
      <x14:pivotCacheDefinition slicerData="1" pivotCacheId="1986883922" supportSubqueryNonVisual="1" supportSubqueryCalcMem="1" supportAddCalcMems="1"/>
    </ext>
  </extLst>
</pivotCacheDefinition>
</file>

<file path=xl/pivotCache/pivotCacheDefinition10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fraim Melo" refreshedDate="45706.890525347226" backgroundQuery="1" createdVersion="3" refreshedVersion="8" minRefreshableVersion="3" recordCount="0" supportSubquery="1" supportAdvancedDrill="1" xr:uid="{B3C0ED50-1228-4ECE-9F9E-19AFDFF46917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2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2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Vendas__2].[Data]" caption="Data" attribute="1" time="1" defaultMemberUniqueName="[Vendas__2].[Data].[All]" allUniqueName="[Vendas__2].[Data].[All]" dimensionUniqueName="[Vendas__2]" displayFolder="" count="0" memberValueDatatype="7" unbalanced="0"/>
    <cacheHierarchy uniqueName="[Vendas__2].[Código]" caption="Código" attribute="1" defaultMemberUniqueName="[Vendas__2].[Código].[All]" allUniqueName="[Vendas__2].[Código].[All]" dimensionUniqueName="[Vendas__2]" displayFolder="" count="0" memberValueDatatype="130" unbalanced="0"/>
    <cacheHierarchy uniqueName="[Vendas__2].[Categoria]" caption="Categoria" attribute="1" defaultMemberUniqueName="[Vendas__2].[Categoria].[All]" allUniqueName="[Vendas__2].[Categoria].[All]" dimensionUniqueName="[Vendas__2]" displayFolder="" count="0" memberValueDatatype="130" unbalanced="0"/>
    <cacheHierarchy uniqueName="[Vendas__2].[Qtd]" caption="Qtd" attribute="1" defaultMemberUniqueName="[Vendas__2].[Qtd].[All]" allUniqueName="[Vendas__2].[Qtd].[All]" dimensionUniqueName="[Vendas__2]" displayFolder="" count="0" memberValueDatatype="20" unbalanced="0"/>
    <cacheHierarchy uniqueName="[Vendas__2].[Preço Unitário]" caption="Preço Unitário" attribute="1" defaultMemberUniqueName="[Vendas__2].[Preço Unitário].[All]" allUniqueName="[Vendas__2].[Preço Unitário].[All]" dimensionUniqueName="[Vendas__2]" displayFolder="" count="0" memberValueDatatype="5" unbalanced="0"/>
    <cacheHierarchy uniqueName="[Vendas__2].[Desconto Final]" caption="Desconto Final" attribute="1" defaultMemberUniqueName="[Vendas__2].[Desconto Final].[All]" allUniqueName="[Vendas__2].[Desconto Final].[All]" dimensionUniqueName="[Vendas__2]" displayFolder="" count="0" memberValueDatatype="5" unbalanced="0"/>
    <cacheHierarchy uniqueName="[Vendas__2].[Total]" caption="Total" attribute="1" defaultMemberUniqueName="[Vendas__2].[Total].[All]" allUniqueName="[Vendas__2].[Total].[All]" dimensionUniqueName="[Vendas__2]" displayFolder="" count="0" memberValueDatatype="5" unbalanced="0"/>
    <cacheHierarchy uniqueName="[Vendas__2].[Nome_Vend]" caption="Nome_Vend" attribute="1" defaultMemberUniqueName="[Vendas__2].[Nome_Vend].[All]" allUniqueName="[Vendas__2].[Nome_Vend].[All]" dimensionUniqueName="[Vendas__2]" displayFolder="" count="0" memberValueDatatype="130" unbalanced="0"/>
    <cacheHierarchy uniqueName="[Vendas__2].[Vendedor]" caption="Vendedor" attribute="1" defaultMemberUniqueName="[Vendas__2].[Vendedor].[All]" allUniqueName="[Vendas__2].[Vendedor].[All]" dimensionUniqueName="[Vendas__2]" displayFolder="" count="0" memberValueDatatype="130" unbalanced="0"/>
    <cacheHierarchy uniqueName="[Vendas__2].[Data (Ano)]" caption="Data (Ano)" attribute="1" defaultMemberUniqueName="[Vendas__2].[Data (Ano)].[All]" allUniqueName="[Vendas__2].[Data (Ano)].[All]" dimensionUniqueName="[Vendas__2]" displayFolder="" count="0" memberValueDatatype="130" unbalanced="0"/>
    <cacheHierarchy uniqueName="[Vendas__2].[Data (Trimestre)]" caption="Data (Trimestre)" attribute="1" defaultMemberUniqueName="[Vendas__2].[Data (Trimestre)].[All]" allUniqueName="[Vendas__2].[Data (Trimestre)].[All]" dimensionUniqueName="[Vendas__2]" displayFolder="" count="0" memberValueDatatype="130" unbalanced="0"/>
    <cacheHierarchy uniqueName="[Vendas__2].[Data (Mês)]" caption="Data (Mês)" attribute="1" defaultMemberUniqueName="[Vendas__2].[Data (Mês)].[All]" allUniqueName="[Vendas__2].[Data (Mês)].[All]" dimensionUniqueName="[Vendas__2]" displayFolder="" count="0" memberValueDatatype="130" unbalanced="0"/>
    <cacheHierarchy uniqueName="[Vendas__2].[Data (Índice de Mês)]" caption="Data (Índice de Mês)" attribute="1" defaultMemberUniqueName="[Vendas__2].[Data (Índice de Mês)].[All]" allUniqueName="[Vendas__2].[Data (Índice de Mês)].[All]" dimensionUniqueName="[Vendas__2]" displayFolder="" count="0" memberValueDatatype="20" unbalanced="0" hidden="1"/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Categoria]" caption="%Categoria" measure="1" displayFolder="" measureGroup="TB_Vendas" count="0"/>
    <cacheHierarchy uniqueName="[Measures].[%Restante]" caption="%Restante" measure="1" displayFolder="" measureGroup="TB_Vendas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Vendas__2]" caption="__XL_Count Vendas__2" measure="1" displayFolder="" measureGroup="Vendas__2" count="0" hidden="1"/>
    <cacheHierarchy uniqueName="[Measures].[__No measures defined]" caption="__No measures defined" measure="1" displayFolder="" count="0" hidden="1"/>
    <cacheHierarchy uniqueName="[Measures].[Soma de Qtd]" caption="Soma de Qtd" measure="1" displayFolder="" measureGroup="TB_Vend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Total]" caption="Soma de Total" measure="1" displayFolder="" measureGroup="TB_Venda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Preço Unitário]" caption="Soma de Preço Unitário" measure="1" displayFolder="" measureGroup="TB_Venda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Vendedor 2]" caption="Contagem de Vendedor 2" measure="1" displayFolder="" measureGroup="Interval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Total 2]" caption="Soma de Total 2" measure="1" displayFolder="" measureGroup="Vendas__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Vendas__2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1335530073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Definition1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Efraim Melo" refreshedDate="45706.890537037034" backgroundQuery="1" createdVersion="3" refreshedVersion="8" minRefreshableVersion="3" recordCount="0" supportSubquery="1" supportAdvancedDrill="1" xr:uid="{2D0EB126-8D65-48CC-A191-B359BEED348D}">
  <cacheSource type="external" connectionId="4">
    <extLst>
      <ext xmlns:x14="http://schemas.microsoft.com/office/spreadsheetml/2009/9/main" uri="{F057638F-6D5F-4e77-A914-E7F072B9BCA8}">
        <x14:sourceConnection name="ThisWorkbookDataModel"/>
      </ext>
    </extLst>
  </cacheSource>
  <cacheFields count="0"/>
  <cacheHierarchies count="52">
    <cacheHierarchy uniqueName="[Intervalo].[Código]" caption="Código" attribute="1" defaultMemberUniqueName="[Intervalo].[Código].[All]" allUniqueName="[Intervalo].[Código].[All]" dimensionUniqueName="[Intervalo]" displayFolder="" count="0" memberValueDatatype="130" unbalanced="0"/>
    <cacheHierarchy uniqueName="[Intervalo].[Vendedor]" caption="Vendedor" attribute="1" defaultMemberUniqueName="[Intervalo].[Vendedor].[All]" allUniqueName="[Intervalo].[Vendedor].[All]" dimensionUniqueName="[Intervalo]" displayFolder="" count="0" memberValueDatatype="130" unbalanced="0"/>
    <cacheHierarchy uniqueName="[Intervalo].[Cidade]" caption="Cidade" attribute="1" defaultMemberUniqueName="[Intervalo].[Cidade].[All]" allUniqueName="[Intervalo].[Cidade].[All]" dimensionUniqueName="[Intervalo]" displayFolder="" count="0" memberValueDatatype="130" unbalanced="0"/>
    <cacheHierarchy uniqueName="[Intervalo].[Desc. Máximo]" caption="Desc. Máximo" attribute="1" defaultMemberUniqueName="[Intervalo].[Desc. Máximo].[All]" allUniqueName="[Intervalo].[Desc. Máximo].[All]" dimensionUniqueName="[Intervalo]" displayFolder="" count="0" memberValueDatatype="5" unbalanced="0"/>
    <cacheHierarchy uniqueName="[TB_Produtos].[Código]" caption="Código" attribute="1" defaultMemberUniqueName="[TB_Produtos].[Código].[All]" allUniqueName="[TB_Produtos].[Código].[All]" dimensionUniqueName="[TB_Produtos]" displayFolder="" count="0" memberValueDatatype="130" unbalanced="0"/>
    <cacheHierarchy uniqueName="[TB_Produtos].[Produtos]" caption="Produtos" attribute="1" defaultMemberUniqueName="[TB_Produtos].[Produtos].[All]" allUniqueName="[TB_Produtos].[Produtos].[All]" dimensionUniqueName="[TB_Produtos]" displayFolder="" count="0" memberValueDatatype="130" unbalanced="0"/>
    <cacheHierarchy uniqueName="[TB_Produtos].[Tamanho]" caption="Tamanho" attribute="1" defaultMemberUniqueName="[TB_Produtos].[Tamanho].[All]" allUniqueName="[TB_Produtos].[Tamanho].[All]" dimensionUniqueName="[TB_Produtos]" displayFolder="" count="0" memberValueDatatype="130" unbalanced="0"/>
    <cacheHierarchy uniqueName="[TB_Produtos].[Categoria]" caption="Categoria" attribute="1" defaultMemberUniqueName="[TB_Produtos].[Categoria].[All]" allUniqueName="[TB_Produtos].[Categoria].[All]" dimensionUniqueName="[TB_Produtos]" displayFolder="" count="0" memberValueDatatype="130" unbalanced="0"/>
    <cacheHierarchy uniqueName="[TB_Produtos].[Estoque]" caption="Estoque" attribute="1" defaultMemberUniqueName="[TB_Produtos].[Estoque].[All]" allUniqueName="[TB_Produtos].[Estoque].[All]" dimensionUniqueName="[TB_Produtos]" displayFolder="" count="0" memberValueDatatype="20" unbalanced="0"/>
    <cacheHierarchy uniqueName="[TB_Produtos].[Preço Unitário]" caption="Preço Unitário" attribute="1" defaultMemberUniqueName="[TB_Produtos].[Preço Unitário].[All]" allUniqueName="[TB_Produtos].[Preço Unitário].[All]" dimensionUniqueName="[TB_Produtos]" displayFolder="" count="0" memberValueDatatype="5" unbalanced="0"/>
    <cacheHierarchy uniqueName="[TB_Vendas].[Nº]" caption="Nº" attribute="1" defaultMemberUniqueName="[TB_Vendas].[Nº].[All]" allUniqueName="[TB_Vendas].[Nº].[All]" dimensionUniqueName="[TB_Vendas]" displayFolder="" count="0" memberValueDatatype="20" unbalanced="0"/>
    <cacheHierarchy uniqueName="[TB_Vendas].[Mês]" caption="Mês" attribute="1" defaultMemberUniqueName="[TB_Vendas].[Mês].[All]" allUniqueName="[TB_Vendas].[Mês].[All]" dimensionUniqueName="[TB_Vendas]" displayFolder="" count="0" memberValueDatatype="130" unbalanced="0"/>
    <cacheHierarchy uniqueName="[TB_Vendas].[Data]" caption="Data" attribute="1" time="1" defaultMemberUniqueName="[TB_Vendas].[Data].[All]" allUniqueName="[TB_Vendas].[Data].[All]" dimensionUniqueName="[TB_Vendas]" displayFolder="" count="0" memberValueDatatype="7" unbalanced="0"/>
    <cacheHierarchy uniqueName="[TB_Vendas].[Código]" caption="Código" attribute="1" defaultMemberUniqueName="[TB_Vendas].[Código].[All]" allUniqueName="[TB_Vendas].[Código].[All]" dimensionUniqueName="[TB_Vendas]" displayFolder="" count="0" memberValueDatatype="130" unbalanced="0"/>
    <cacheHierarchy uniqueName="[TB_Vendas].[Categoria]" caption="Categoria" attribute="1" defaultMemberUniqueName="[TB_Vendas].[Categoria].[All]" allUniqueName="[TB_Vendas].[Categoria].[All]" dimensionUniqueName="[TB_Vendas]" displayFolder="" count="0" memberValueDatatype="130" unbalanced="0"/>
    <cacheHierarchy uniqueName="[TB_Vendas].[Qtd]" caption="Qtd" attribute="1" defaultMemberUniqueName="[TB_Vendas].[Qtd].[All]" allUniqueName="[TB_Vendas].[Qtd].[All]" dimensionUniqueName="[TB_Vendas]" displayFolder="" count="0" memberValueDatatype="20" unbalanced="0"/>
    <cacheHierarchy uniqueName="[TB_Vendas].[Preço Unitário]" caption="Preço Unitário" attribute="1" defaultMemberUniqueName="[TB_Vendas].[Preço Unitário].[All]" allUniqueName="[TB_Vendas].[Preço Unitário].[All]" dimensionUniqueName="[TB_Vendas]" displayFolder="" count="0" memberValueDatatype="5" unbalanced="0"/>
    <cacheHierarchy uniqueName="[TB_Vendas].[Indice]" caption="Indice" attribute="1" defaultMemberUniqueName="[TB_Vendas].[Indice].[All]" allUniqueName="[TB_Vendas].[Indice].[All]" dimensionUniqueName="[TB_Vendas]" displayFolder="" count="0" memberValueDatatype="20" unbalanced="0"/>
    <cacheHierarchy uniqueName="[TB_Vendas].[Desconto  (Passo a Passo)]" caption="Desconto  (Passo a Passo)" attribute="1" defaultMemberUniqueName="[TB_Vendas].[Desconto  (Passo a Passo)].[All]" allUniqueName="[TB_Vendas].[Desconto  (Passo a Passo)].[All]" dimensionUniqueName="[TB_Vendas]" displayFolder="" count="0" memberValueDatatype="5" unbalanced="0"/>
    <cacheHierarchy uniqueName="[TB_Vendas].[Desconto  (Diretão)]" caption="Desconto  (Diretão)" attribute="1" defaultMemberUniqueName="[TB_Vendas].[Desconto  (Diretão)].[All]" allUniqueName="[TB_Vendas].[Desconto  (Diretão)].[All]" dimensionUniqueName="[TB_Vendas]" displayFolder="" count="0" memberValueDatatype="5" unbalanced="0"/>
    <cacheHierarchy uniqueName="[TB_Vendas].[Desconto  (Vendedor)]" caption="Desconto  (Vendedor)" attribute="1" defaultMemberUniqueName="[TB_Vendas].[Desconto  (Vendedor)].[All]" allUniqueName="[TB_Vendas].[Desconto  (Vendedor)].[All]" dimensionUniqueName="[TB_Vendas]" displayFolder="" count="0" memberValueDatatype="5" unbalanced="0"/>
    <cacheHierarchy uniqueName="[TB_Vendas].[Desconto Final]" caption="Desconto Final" attribute="1" defaultMemberUniqueName="[TB_Vendas].[Desconto Final].[All]" allUniqueName="[TB_Vendas].[Desconto Final].[All]" dimensionUniqueName="[TB_Vendas]" displayFolder="" count="0" memberValueDatatype="5" unbalanced="0"/>
    <cacheHierarchy uniqueName="[TB_Vendas].[Total]" caption="Total" attribute="1" defaultMemberUniqueName="[TB_Vendas].[Total].[All]" allUniqueName="[TB_Vendas].[Total].[All]" dimensionUniqueName="[TB_Vendas]" displayFolder="" count="0" memberValueDatatype="5" unbalanced="0"/>
    <cacheHierarchy uniqueName="[TB_Vendas].[Vendedor]" caption="Vendedor" attribute="1" defaultMemberUniqueName="[TB_Vendas].[Vendedor].[All]" allUniqueName="[TB_Vendas].[Vendedor].[All]" dimensionUniqueName="[TB_Vendas]" displayFolder="" count="0" memberValueDatatype="130" unbalanced="0"/>
    <cacheHierarchy uniqueName="[Vendas__2].[Data]" caption="Data" attribute="1" time="1" defaultMemberUniqueName="[Vendas__2].[Data].[All]" allUniqueName="[Vendas__2].[Data].[All]" dimensionUniqueName="[Vendas__2]" displayFolder="" count="2" memberValueDatatype="7" unbalanced="0"/>
    <cacheHierarchy uniqueName="[Vendas__2].[Código]" caption="Código" attribute="1" defaultMemberUniqueName="[Vendas__2].[Código].[All]" allUniqueName="[Vendas__2].[Código].[All]" dimensionUniqueName="[Vendas__2]" displayFolder="" count="0" memberValueDatatype="130" unbalanced="0"/>
    <cacheHierarchy uniqueName="[Vendas__2].[Categoria]" caption="Categoria" attribute="1" defaultMemberUniqueName="[Vendas__2].[Categoria].[All]" allUniqueName="[Vendas__2].[Categoria].[All]" dimensionUniqueName="[Vendas__2]" displayFolder="" count="0" memberValueDatatype="130" unbalanced="0"/>
    <cacheHierarchy uniqueName="[Vendas__2].[Qtd]" caption="Qtd" attribute="1" defaultMemberUniqueName="[Vendas__2].[Qtd].[All]" allUniqueName="[Vendas__2].[Qtd].[All]" dimensionUniqueName="[Vendas__2]" displayFolder="" count="0" memberValueDatatype="20" unbalanced="0"/>
    <cacheHierarchy uniqueName="[Vendas__2].[Preço Unitário]" caption="Preço Unitário" attribute="1" defaultMemberUniqueName="[Vendas__2].[Preço Unitário].[All]" allUniqueName="[Vendas__2].[Preço Unitário].[All]" dimensionUniqueName="[Vendas__2]" displayFolder="" count="0" memberValueDatatype="5" unbalanced="0"/>
    <cacheHierarchy uniqueName="[Vendas__2].[Desconto Final]" caption="Desconto Final" attribute="1" defaultMemberUniqueName="[Vendas__2].[Desconto Final].[All]" allUniqueName="[Vendas__2].[Desconto Final].[All]" dimensionUniqueName="[Vendas__2]" displayFolder="" count="0" memberValueDatatype="5" unbalanced="0"/>
    <cacheHierarchy uniqueName="[Vendas__2].[Total]" caption="Total" attribute="1" defaultMemberUniqueName="[Vendas__2].[Total].[All]" allUniqueName="[Vendas__2].[Total].[All]" dimensionUniqueName="[Vendas__2]" displayFolder="" count="0" memberValueDatatype="5" unbalanced="0"/>
    <cacheHierarchy uniqueName="[Vendas__2].[Nome_Vend]" caption="Nome_Vend" attribute="1" defaultMemberUniqueName="[Vendas__2].[Nome_Vend].[All]" allUniqueName="[Vendas__2].[Nome_Vend].[All]" dimensionUniqueName="[Vendas__2]" displayFolder="" count="0" memberValueDatatype="130" unbalanced="0"/>
    <cacheHierarchy uniqueName="[Vendas__2].[Vendedor]" caption="Vendedor" attribute="1" defaultMemberUniqueName="[Vendas__2].[Vendedor].[All]" allUniqueName="[Vendas__2].[Vendedor].[All]" dimensionUniqueName="[Vendas__2]" displayFolder="" count="0" memberValueDatatype="130" unbalanced="0"/>
    <cacheHierarchy uniqueName="[Vendas__2].[Data (Ano)]" caption="Data (Ano)" attribute="1" defaultMemberUniqueName="[Vendas__2].[Data (Ano)].[All]" allUniqueName="[Vendas__2].[Data (Ano)].[All]" dimensionUniqueName="[Vendas__2]" displayFolder="" count="0" memberValueDatatype="130" unbalanced="0"/>
    <cacheHierarchy uniqueName="[Vendas__2].[Data (Trimestre)]" caption="Data (Trimestre)" attribute="1" defaultMemberUniqueName="[Vendas__2].[Data (Trimestre)].[All]" allUniqueName="[Vendas__2].[Data (Trimestre)].[All]" dimensionUniqueName="[Vendas__2]" displayFolder="" count="0" memberValueDatatype="130" unbalanced="0"/>
    <cacheHierarchy uniqueName="[Vendas__2].[Data (Mês)]" caption="Data (Mês)" attribute="1" defaultMemberUniqueName="[Vendas__2].[Data (Mês)].[All]" allUniqueName="[Vendas__2].[Data (Mês)].[All]" dimensionUniqueName="[Vendas__2]" displayFolder="" count="0" memberValueDatatype="130" unbalanced="0"/>
    <cacheHierarchy uniqueName="[Vendas__2].[Data (Índice de Mês)]" caption="Data (Índice de Mês)" attribute="1" defaultMemberUniqueName="[Vendas__2].[Data (Índice de Mês)].[All]" allUniqueName="[Vendas__2].[Data (Índice de Mês)].[All]" dimensionUniqueName="[Vendas__2]" displayFolder="" count="0" memberValueDatatype="20" unbalanced="0" hidden="1"/>
    <cacheHierarchy uniqueName="[Measures].[Soma de vendas]" caption="Soma de vendas" measure="1" displayFolder="" measureGroup="TB_Vendas" count="0"/>
    <cacheHierarchy uniqueName="[Measures].[Vendas Totais]" caption="Vendas Totais" measure="1" displayFolder="" measureGroup="TB_Vendas" count="0"/>
    <cacheHierarchy uniqueName="[Measures].[%Categoria]" caption="%Categoria" measure="1" displayFolder="" measureGroup="TB_Vendas" count="0"/>
    <cacheHierarchy uniqueName="[Measures].[%Restante]" caption="%Restante" measure="1" displayFolder="" measureGroup="TB_Vendas" count="0"/>
    <cacheHierarchy uniqueName="[Measures].[__XL_Count TB_Produtos]" caption="__XL_Count TB_Produtos" measure="1" displayFolder="" measureGroup="TB_Produtos" count="0" hidden="1"/>
    <cacheHierarchy uniqueName="[Measures].[__XL_Count TB_Vendas]" caption="__XL_Count TB_Vendas" measure="1" displayFolder="" measureGroup="TB_Vendas" count="0" hidden="1"/>
    <cacheHierarchy uniqueName="[Measures].[__XL_Count Intervalo]" caption="__XL_Count Intervalo" measure="1" displayFolder="" measureGroup="Intervalo" count="0" hidden="1"/>
    <cacheHierarchy uniqueName="[Measures].[__XL_Count Vendas__2]" caption="__XL_Count Vendas__2" measure="1" displayFolder="" measureGroup="Vendas__2" count="0" hidden="1"/>
    <cacheHierarchy uniqueName="[Measures].[__No measures defined]" caption="__No measures defined" measure="1" displayFolder="" count="0" hidden="1"/>
    <cacheHierarchy uniqueName="[Measures].[Soma de Qtd]" caption="Soma de Qtd" measure="1" displayFolder="" measureGroup="TB_Vendas" count="0" hidden="1">
      <extLst>
        <ext xmlns:x15="http://schemas.microsoft.com/office/spreadsheetml/2010/11/main" uri="{B97F6D7D-B522-45F9-BDA1-12C45D357490}">
          <x15:cacheHierarchy aggregatedColumn="15"/>
        </ext>
      </extLst>
    </cacheHierarchy>
    <cacheHierarchy uniqueName="[Measures].[Soma de Total]" caption="Soma de Total" measure="1" displayFolder="" measureGroup="TB_Vendas" count="0" hidden="1">
      <extLst>
        <ext xmlns:x15="http://schemas.microsoft.com/office/spreadsheetml/2010/11/main" uri="{B97F6D7D-B522-45F9-BDA1-12C45D357490}">
          <x15:cacheHierarchy aggregatedColumn="22"/>
        </ext>
      </extLst>
    </cacheHierarchy>
    <cacheHierarchy uniqueName="[Measures].[Soma de Preço Unitário]" caption="Soma de Preço Unitário" measure="1" displayFolder="" measureGroup="TB_Vendas" count="0" hidden="1">
      <extLst>
        <ext xmlns:x15="http://schemas.microsoft.com/office/spreadsheetml/2010/11/main" uri="{B97F6D7D-B522-45F9-BDA1-12C45D357490}">
          <x15:cacheHierarchy aggregatedColumn="16"/>
        </ext>
      </extLst>
    </cacheHierarchy>
    <cacheHierarchy uniqueName="[Measures].[Contagem de Vendedor 2]" caption="Contagem de Vendedor 2" measure="1" displayFolder="" measureGroup="Intervalo" count="0" hidden="1">
      <extLst>
        <ext xmlns:x15="http://schemas.microsoft.com/office/spreadsheetml/2010/11/main" uri="{B97F6D7D-B522-45F9-BDA1-12C45D357490}">
          <x15:cacheHierarchy aggregatedColumn="1"/>
        </ext>
      </extLst>
    </cacheHierarchy>
    <cacheHierarchy uniqueName="[Measures].[Soma de Total 2]" caption="Soma de Total 2" measure="1" displayFolder="" measureGroup="Vendas__2" count="0" hidden="1">
      <extLst>
        <ext xmlns:x15="http://schemas.microsoft.com/office/spreadsheetml/2010/11/main" uri="{B97F6D7D-B522-45F9-BDA1-12C45D357490}">
          <x15:cacheHierarchy aggregatedColumn="30"/>
        </ext>
      </extLst>
    </cacheHierarchy>
    <cacheHierarchy uniqueName="[Measures].[Soma de Qtd 2]" caption="Soma de Qtd 2" measure="1" displayFolder="" measureGroup="Vendas__2" count="0" hidden="1">
      <extLst>
        <ext xmlns:x15="http://schemas.microsoft.com/office/spreadsheetml/2010/11/main" uri="{B97F6D7D-B522-45F9-BDA1-12C45D357490}">
          <x15:cacheHierarchy aggregatedColumn="27"/>
        </ext>
      </extLst>
    </cacheHierarchy>
  </cacheHierarchies>
  <kpis count="0"/>
  <extLst>
    <ext xmlns:x14="http://schemas.microsoft.com/office/spreadsheetml/2009/9/main" uri="{725AE2AE-9491-48be-B2B4-4EB974FC3084}">
      <x14:pivotCacheDefinition pivotCacheId="630550765" supportSubqueryNonVisual="1" supportSubqueryCalcMem="1" supportAddCalcMems="1"/>
    </ext>
    <ext xmlns:x15="http://schemas.microsoft.com/office/spreadsheetml/2010/11/main" uri="{ABF5C744-AB39-4b91-8756-CFA1BBC848D5}">
      <x15:pivotCacheIdVersion cacheIdSupportedVersion="6" cacheIdCreatedVersion="7"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count="60">
  <r>
    <s v="PR001"/>
    <x v="0"/>
    <s v="P"/>
    <x v="0"/>
    <n v="48"/>
    <n v="65.900000000000006"/>
  </r>
  <r>
    <s v="PR002"/>
    <x v="0"/>
    <s v="M"/>
    <x v="0"/>
    <n v="17"/>
    <n v="69.900000000000006"/>
  </r>
  <r>
    <s v="PR003"/>
    <x v="0"/>
    <s v="G"/>
    <x v="0"/>
    <n v="25"/>
    <n v="70.900000000000006"/>
  </r>
  <r>
    <s v="PR004"/>
    <x v="1"/>
    <s v="Único"/>
    <x v="1"/>
    <n v="36"/>
    <n v="145"/>
  </r>
  <r>
    <s v="PR005"/>
    <x v="2"/>
    <s v="Único"/>
    <x v="1"/>
    <n v="21"/>
    <n v="259.89999999999998"/>
  </r>
  <r>
    <s v="PR006"/>
    <x v="3"/>
    <s v="Único"/>
    <x v="1"/>
    <n v="23"/>
    <n v="39.9"/>
  </r>
  <r>
    <s v="PR007"/>
    <x v="4"/>
    <s v="P"/>
    <x v="0"/>
    <n v="24"/>
    <n v="85.9"/>
  </r>
  <r>
    <s v="PR008"/>
    <x v="4"/>
    <s v="M"/>
    <x v="0"/>
    <n v="35"/>
    <n v="89.9"/>
  </r>
  <r>
    <s v="PR009"/>
    <x v="4"/>
    <s v="G"/>
    <x v="0"/>
    <n v="47"/>
    <n v="92.9"/>
  </r>
  <r>
    <s v="PR010"/>
    <x v="5"/>
    <s v="P"/>
    <x v="0"/>
    <n v="42"/>
    <n v="44.9"/>
  </r>
  <r>
    <s v="PR011"/>
    <x v="5"/>
    <s v="M"/>
    <x v="0"/>
    <n v="32"/>
    <n v="46.9"/>
  </r>
  <r>
    <s v="PR012"/>
    <x v="5"/>
    <s v="G"/>
    <x v="0"/>
    <n v="45"/>
    <n v="48.9"/>
  </r>
  <r>
    <s v="PR013"/>
    <x v="6"/>
    <s v="P"/>
    <x v="0"/>
    <n v="19"/>
    <n v="39.9"/>
  </r>
  <r>
    <s v="PR014"/>
    <x v="6"/>
    <s v="M"/>
    <x v="0"/>
    <n v="37"/>
    <n v="39.9"/>
  </r>
  <r>
    <s v="PR015"/>
    <x v="6"/>
    <s v="G"/>
    <x v="0"/>
    <n v="16"/>
    <n v="42.5"/>
  </r>
  <r>
    <s v="PR016"/>
    <x v="7"/>
    <s v="P"/>
    <x v="0"/>
    <n v="43"/>
    <n v="25.9"/>
  </r>
  <r>
    <s v="PR017"/>
    <x v="8"/>
    <s v="M"/>
    <x v="0"/>
    <n v="46"/>
    <n v="29.9"/>
  </r>
  <r>
    <s v="PR018"/>
    <x v="8"/>
    <s v="G"/>
    <x v="0"/>
    <n v="0"/>
    <n v="32.9"/>
  </r>
  <r>
    <s v="PR019"/>
    <x v="9"/>
    <s v="Único"/>
    <x v="1"/>
    <n v="2"/>
    <n v="49.9"/>
  </r>
  <r>
    <s v="PR020"/>
    <x v="10"/>
    <s v="P"/>
    <x v="0"/>
    <n v="34"/>
    <n v="299.89999999999998"/>
  </r>
  <r>
    <s v="PR021"/>
    <x v="10"/>
    <s v="M"/>
    <x v="0"/>
    <n v="34"/>
    <n v="302.89999999999998"/>
  </r>
  <r>
    <s v="PR022"/>
    <x v="10"/>
    <s v="G"/>
    <x v="0"/>
    <n v="35"/>
    <n v="300"/>
  </r>
  <r>
    <s v="PR023"/>
    <x v="11"/>
    <s v="P"/>
    <x v="0"/>
    <n v="49"/>
    <n v="249.9"/>
  </r>
  <r>
    <s v="PR024"/>
    <x v="11"/>
    <s v="M"/>
    <x v="0"/>
    <n v="16"/>
    <n v="259.89999999999998"/>
  </r>
  <r>
    <s v="PR025"/>
    <x v="11"/>
    <s v="G"/>
    <x v="0"/>
    <n v="41"/>
    <n v="299.89999999999998"/>
  </r>
  <r>
    <s v="PR026"/>
    <x v="12"/>
    <s v="Único"/>
    <x v="1"/>
    <n v="32"/>
    <n v="349.9"/>
  </r>
  <r>
    <s v="PR027"/>
    <x v="13"/>
    <s v="Único"/>
    <x v="1"/>
    <n v="45"/>
    <n v="120"/>
  </r>
  <r>
    <s v="PR028"/>
    <x v="14"/>
    <n v="36"/>
    <x v="2"/>
    <n v="37"/>
    <n v="249.9"/>
  </r>
  <r>
    <s v="PR029"/>
    <x v="14"/>
    <n v="37"/>
    <x v="2"/>
    <n v="41"/>
    <n v="255"/>
  </r>
  <r>
    <s v="PR030"/>
    <x v="14"/>
    <n v="38"/>
    <x v="2"/>
    <n v="30"/>
    <n v="259.89999999999998"/>
  </r>
  <r>
    <s v="PR031"/>
    <x v="15"/>
    <n v="36"/>
    <x v="2"/>
    <n v="27"/>
    <n v="245"/>
  </r>
  <r>
    <s v="PR032"/>
    <x v="15"/>
    <n v="37"/>
    <x v="2"/>
    <n v="41"/>
    <n v="250"/>
  </r>
  <r>
    <s v="PR033"/>
    <x v="15"/>
    <n v="38"/>
    <x v="2"/>
    <n v="43"/>
    <n v="259.89999999999998"/>
  </r>
  <r>
    <s v="PR034"/>
    <x v="16"/>
    <s v="P"/>
    <x v="0"/>
    <n v="43"/>
    <n v="89.9"/>
  </r>
  <r>
    <s v="PR035"/>
    <x v="16"/>
    <s v="M"/>
    <x v="0"/>
    <n v="18"/>
    <n v="91.4"/>
  </r>
  <r>
    <s v="PR036"/>
    <x v="16"/>
    <s v="G"/>
    <x v="0"/>
    <n v="45"/>
    <n v="93.5"/>
  </r>
  <r>
    <s v="PR037"/>
    <x v="17"/>
    <s v="P"/>
    <x v="0"/>
    <n v="34"/>
    <n v="140"/>
  </r>
  <r>
    <s v="PR038"/>
    <x v="17"/>
    <s v="M"/>
    <x v="0"/>
    <n v="47"/>
    <n v="142.9"/>
  </r>
  <r>
    <s v="PR039"/>
    <x v="17"/>
    <s v="G"/>
    <x v="0"/>
    <n v="50"/>
    <n v="146"/>
  </r>
  <r>
    <s v="PR040"/>
    <x v="18"/>
    <s v="P"/>
    <x v="0"/>
    <n v="16"/>
    <n v="70"/>
  </r>
  <r>
    <s v="PR041"/>
    <x v="18"/>
    <s v="M"/>
    <x v="0"/>
    <n v="21"/>
    <n v="54.9"/>
  </r>
  <r>
    <s v="PR042"/>
    <x v="18"/>
    <s v="G"/>
    <x v="0"/>
    <n v="43"/>
    <n v="54.9"/>
  </r>
  <r>
    <s v="PR043"/>
    <x v="19"/>
    <s v="P"/>
    <x v="0"/>
    <n v="43"/>
    <n v="72.5"/>
  </r>
  <r>
    <s v="PR044"/>
    <x v="19"/>
    <s v="M"/>
    <x v="0"/>
    <n v="41"/>
    <n v="72.5"/>
  </r>
  <r>
    <s v="PR045"/>
    <x v="19"/>
    <s v="G"/>
    <x v="0"/>
    <n v="49"/>
    <n v="72.5"/>
  </r>
  <r>
    <s v="PR046"/>
    <x v="20"/>
    <s v="P"/>
    <x v="0"/>
    <n v="15"/>
    <n v="289.89999999999998"/>
  </r>
  <r>
    <s v="PR047"/>
    <x v="20"/>
    <s v="M"/>
    <x v="0"/>
    <n v="10"/>
    <n v="289.89999999999998"/>
  </r>
  <r>
    <s v="PR048"/>
    <x v="20"/>
    <s v="G"/>
    <x v="0"/>
    <n v="21"/>
    <n v="289.89999999999998"/>
  </r>
  <r>
    <s v="PR049"/>
    <x v="21"/>
    <s v="P"/>
    <x v="0"/>
    <n v="8"/>
    <n v="32.9"/>
  </r>
  <r>
    <s v="PR050"/>
    <x v="21"/>
    <s v="M"/>
    <x v="0"/>
    <n v="42"/>
    <n v="32.9"/>
  </r>
  <r>
    <s v="PR051"/>
    <x v="21"/>
    <s v="G"/>
    <x v="0"/>
    <n v="48"/>
    <n v="32.9"/>
  </r>
  <r>
    <s v="PR052"/>
    <x v="22"/>
    <s v="P"/>
    <x v="0"/>
    <n v="35"/>
    <n v="49.9"/>
  </r>
  <r>
    <s v="PR053"/>
    <x v="22"/>
    <s v="M"/>
    <x v="0"/>
    <n v="40"/>
    <n v="49.9"/>
  </r>
  <r>
    <s v="PR054"/>
    <x v="22"/>
    <s v="G"/>
    <x v="0"/>
    <n v="18"/>
    <n v="49.9"/>
  </r>
  <r>
    <s v="PR055"/>
    <x v="23"/>
    <n v="35"/>
    <x v="2"/>
    <n v="48"/>
    <n v="89.9"/>
  </r>
  <r>
    <s v="PR056"/>
    <x v="23"/>
    <n v="36"/>
    <x v="2"/>
    <n v="38"/>
    <n v="89.9"/>
  </r>
  <r>
    <s v="PR057"/>
    <x v="23"/>
    <n v="37"/>
    <x v="2"/>
    <n v="45"/>
    <n v="89.9"/>
  </r>
  <r>
    <s v="PR058"/>
    <x v="24"/>
    <s v="P"/>
    <x v="0"/>
    <n v="40"/>
    <n v="180"/>
  </r>
  <r>
    <s v="PR059"/>
    <x v="24"/>
    <s v="M"/>
    <x v="0"/>
    <n v="35"/>
    <n v="180"/>
  </r>
  <r>
    <s v="PR060"/>
    <x v="24"/>
    <s v="G"/>
    <x v="0"/>
    <n v="35"/>
    <n v="18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4.xml"/></Relationships>
</file>

<file path=xl/pivotTables/_rels/pivotTable2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7.xml"/></Relationships>
</file>

<file path=xl/pivotTables/_rels/pivotTable3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6.xml"/></Relationships>
</file>

<file path=xl/pivotTables/_rels/pivotTable4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5.xml"/></Relationships>
</file>

<file path=xl/pivotTables/_rels/pivotTable5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6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8.xml"/></Relationships>
</file>

<file path=xl/pivotTables/_rels/pivotTable7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3.xml"/></Relationships>
</file>

<file path=xl/pivotTables/_rels/pivotTable8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2.xml"/></Relationships>
</file>

<file path=xl/pivotTables/_rels/pivotTable9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FF7F259-CB8A-4AD6-B9CA-1FE42F46BD8A}" name="Tabela dinâmica9" cacheId="3" applyNumberFormats="0" applyBorderFormats="0" applyFontFormats="0" applyPatternFormats="0" applyAlignmentFormats="0" applyWidthHeightFormats="1" dataCaption="Valores" tag="8025f014-6409-4122-994c-6efb699b9d8f" updatedVersion="8" minRefreshableVersion="3" useAutoFormatting="1" subtotalHiddenItems="1" itemPrintTitles="1" createdVersion="8" indent="0" outline="1" outlineData="1" multipleFieldFilters="0" chartFormat="24">
  <location ref="A3:B9" firstHeaderRow="1" firstDataRow="1" firstDataCol="1"/>
  <pivotFields count="2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dataField="1" subtotalTop="0" showAll="0" defaultSubtotal="0"/>
  </pivotFields>
  <rowFields count="1">
    <field x="0"/>
  </rowFields>
  <rowItems count="6">
    <i>
      <x v="2"/>
    </i>
    <i>
      <x v="1"/>
    </i>
    <i>
      <x/>
    </i>
    <i>
      <x v="4"/>
    </i>
    <i>
      <x v="3"/>
    </i>
    <i t="grand">
      <x/>
    </i>
  </rowItems>
  <colItems count="1">
    <i/>
  </colItems>
  <dataFields count="1">
    <dataField name="Soma de Total" fld="1" baseField="0" baseItem="0" numFmtId="165"/>
  </dataFields>
  <formats count="2">
    <format dxfId="38">
      <pivotArea outline="0" collapsedLevelsAreSubtotals="1" fieldPosition="0"/>
    </format>
    <format dxfId="37">
      <pivotArea dataOnly="0" labelOnly="1" outline="0" axis="axisValues" fieldPosition="0"/>
    </format>
  </formats>
  <chartFormats count="2">
    <chartFormat chart="2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3" format="3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Intervalo]"/>
        <x15:activeTabTopLevelEntity name="[TB_Produtos]"/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2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3C563CF8-1D75-42B5-AE2C-A7EBB6D33F01}" name="Tabela dinâmica9" cacheId="6" applyNumberFormats="0" applyBorderFormats="0" applyFontFormats="0" applyPatternFormats="0" applyAlignmentFormats="0" applyWidthHeightFormats="1" dataCaption="Valores" updatedVersion="8" minRefreshableVersion="5" useAutoFormatting="1" subtotalHiddenItems="1" itemPrintTitles="1" createdVersion="8" indent="0" outline="1" outlineData="1" multipleFieldFilters="0" chartFormat="4">
  <location ref="A12:C25" firstHeaderRow="0" firstDataRow="1" firstDataCol="1"/>
  <pivotFields count="3">
    <pivotField axis="axisRow" allDrilled="1" subtotalTop="0" showAll="0" dataSourceSort="1" defaultSubtotal="0" defaultAttributeDrillState="1">
      <items count="12">
        <item x="0"/>
        <item x="1"/>
        <item x="2"/>
        <item x="3"/>
        <item x="4"/>
        <item x="5"/>
        <item x="6"/>
        <item x="7"/>
        <item x="8"/>
        <item x="9"/>
        <item x="10"/>
        <item x="11"/>
      </items>
    </pivotField>
    <pivotField dataField="1" subtotalTop="0" showAll="0" defaultSubtotal="0"/>
    <pivotField dataField="1" subtotalTop="0" showAll="0" defaultSubtotal="0"/>
  </pivotFields>
  <rowFields count="1">
    <field x="0"/>
  </rowFields>
  <rowItems count="13">
    <i>
      <x/>
    </i>
    <i>
      <x v="1"/>
    </i>
    <i>
      <x v="2"/>
    </i>
    <i>
      <x v="3"/>
    </i>
    <i>
      <x v="4"/>
    </i>
    <i>
      <x v="5"/>
    </i>
    <i>
      <x v="6"/>
    </i>
    <i>
      <x v="7"/>
    </i>
    <i>
      <x v="8"/>
    </i>
    <i>
      <x v="9"/>
    </i>
    <i>
      <x v="10"/>
    </i>
    <i>
      <x v="11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1" baseField="0" baseItem="0" numFmtId="165"/>
    <dataField name="Soma de Qtd" fld="2" baseField="0" baseItem="0"/>
  </dataFields>
  <formats count="2">
    <format dxfId="1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16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6">
    <chartFormat chart="1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1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" format="4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" format="5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3" format="8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3" format="9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5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das__2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3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0712675-90E1-4B5D-9AA9-77278D373DCD}" name="Tabela dinâmica4" cacheId="5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3">
  <location ref="D3:E7" firstHeaderRow="1" firstDataRow="1" firstDataCol="1" rowPageCount="1" colPageCount="1"/>
  <pivotFields count="3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axis="axisPage" allDrilled="1" subtotalTop="0" showAll="0" dataSourceSort="1" defaultSubtotal="0" defaultAttributeDrillState="1"/>
  </pivotFields>
  <rowFields count="1">
    <field x="0"/>
  </rowFields>
  <rowItems count="4">
    <i>
      <x/>
    </i>
    <i>
      <x v="1"/>
    </i>
    <i>
      <x v="2"/>
    </i>
    <i t="grand">
      <x/>
    </i>
  </rowItems>
  <colItems count="1">
    <i/>
  </colItems>
  <pageFields count="1">
    <pageField fld="2" hier="7" name="[TB_Produtos].[Categoria].[All]" cap="All"/>
  </pageFields>
  <dataFields count="1">
    <dataField name="Soma de Total" fld="1" baseField="0" baseItem="0"/>
  </dataField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26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das__2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4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02080748-0647-481A-802E-B85144CD3839}" name="Tabela dinâmica3" cacheId="4" applyNumberFormats="0" applyBorderFormats="0" applyFontFormats="0" applyPatternFormats="0" applyAlignmentFormats="0" applyWidthHeightFormats="1" dataCaption="Valores" updatedVersion="8" minRefreshableVersion="3" useAutoFormatting="1" subtotalHiddenItems="1" itemPrintTitles="1" createdVersion="8" indent="0" outline="1" outlineData="1" multipleFieldFilters="0" chartFormat="5">
  <location ref="A3:B9" firstHeaderRow="1" firstDataRow="1" firstDataCol="1" rowPageCount="1" colPageCount="1"/>
  <pivotFields count="3">
    <pivotField axis="axisRow" allDrilled="1" subtotalTop="0" showAll="0" sortType="ascending" defaultSubtotal="0" defaultAttributeDrillState="1">
      <items count="5">
        <item x="0"/>
        <item x="1"/>
        <item x="2"/>
        <item x="3"/>
        <item x="4"/>
      </items>
      <autoSortScope>
        <pivotArea dataOnly="0" outline="0" fieldPosition="0">
          <references count="1">
            <reference field="4294967294" count="1" selected="0">
              <x v="0"/>
            </reference>
          </references>
        </pivotArea>
      </autoSortScope>
    </pivotField>
    <pivotField axis="axisPage" allDrilled="1" subtotalTop="0" showAll="0" dataSourceSort="1" defaultSubtotal="0" defaultAttributeDrillState="1"/>
    <pivotField dataField="1" subtotalTop="0" showAll="0" defaultSubtotal="0"/>
  </pivotFields>
  <rowFields count="1">
    <field x="0"/>
  </rowFields>
  <rowItems count="6">
    <i>
      <x v="2"/>
    </i>
    <i>
      <x v="3"/>
    </i>
    <i>
      <x/>
    </i>
    <i>
      <x v="4"/>
    </i>
    <i>
      <x v="1"/>
    </i>
    <i t="grand">
      <x/>
    </i>
  </rowItems>
  <colItems count="1">
    <i/>
  </colItems>
  <pageFields count="1">
    <pageField fld="1" hier="1" name="[Intervalo].[Vendedor].[All]" cap="All"/>
  </pageFields>
  <dataFields count="1">
    <dataField name="Soma de Total" fld="2" baseField="0" baseItem="0" numFmtId="165"/>
  </dataFields>
  <formats count="2">
    <format dxfId="19">
      <pivotArea outline="0" collapsedLevelsAreSubtotals="1" fieldPosition="0"/>
    </format>
    <format dxfId="18">
      <pivotArea dataOnly="0" labelOnly="1" outline="0" axis="axisValues" fieldPosition="0"/>
    </format>
  </formats>
  <chartFormats count="1">
    <chartFormat chart="3" format="1" series="1">
      <pivotArea type="data" outline="0" fieldPosition="0">
        <references count="1">
          <reference field="4294967294" count="1" selected="0">
            <x v="0"/>
          </reference>
        </references>
      </pivotArea>
    </chartFormat>
  </chart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31"/>
  </row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Vendas__2]"/>
        <x15:activeTabTopLevelEntity name="[Intervalo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5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611AC2DB-9D34-4C73-9C17-69E49E83318C}" name="TBDN_Produtos" cacheId="7" applyNumberFormats="0" applyBorderFormats="0" applyFontFormats="0" applyPatternFormats="0" applyAlignmentFormats="0" applyWidthHeightFormats="1" dataCaption="Valores" updatedVersion="8" minRefreshableVersion="3" itemPrintTitles="1" createdVersion="8" indent="0" outline="1" outlineData="1" multipleFieldFilters="0">
  <location ref="A3:C7" firstHeaderRow="0" firstDataRow="1" firstDataCol="1"/>
  <pivotFields count="6">
    <pivotField showAll="0"/>
    <pivotField axis="axisRow" showAll="0">
      <items count="27">
        <item x="0"/>
        <item x="1"/>
        <item x="2"/>
        <item x="3"/>
        <item x="24"/>
        <item x="4"/>
        <item x="5"/>
        <item x="18"/>
        <item x="6"/>
        <item x="7"/>
        <item x="8"/>
        <item x="21"/>
        <item x="9"/>
        <item x="10"/>
        <item x="20"/>
        <item x="11"/>
        <item x="12"/>
        <item x="13"/>
        <item x="22"/>
        <item x="23"/>
        <item x="14"/>
        <item x="15"/>
        <item x="16"/>
        <item x="19"/>
        <item x="17"/>
        <item m="1" x="25"/>
        <item t="default"/>
      </items>
    </pivotField>
    <pivotField showAll="0"/>
    <pivotField axis="axisRow" showAll="0">
      <items count="5">
        <item sd="0" x="0"/>
        <item sd="0" x="1"/>
        <item sd="0" x="2"/>
        <item sd="0" m="1" x="3"/>
        <item t="default"/>
      </items>
    </pivotField>
    <pivotField dataField="1" showAll="0"/>
    <pivotField dataField="1" showAll="0"/>
  </pivotFields>
  <rowFields count="2">
    <field x="3"/>
    <field x="1"/>
  </rowFields>
  <rowItems count="4">
    <i>
      <x/>
    </i>
    <i>
      <x v="1"/>
    </i>
    <i>
      <x v="2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Estoque" fld="4" baseField="0" baseItem="0"/>
    <dataField name="Soma de Preço Unitário" fld="5" baseField="3" baseItem="0" numFmtId="165"/>
  </dataFields>
  <formats count="4">
    <format dxfId="10">
      <pivotArea collapsedLevelsAreSubtotals="1" fieldPosition="0">
        <references count="1">
          <reference field="3" count="0"/>
        </references>
      </pivotArea>
    </format>
    <format dxfId="9">
      <pivotArea dataOnly="0" labelOnly="1" fieldPosition="0">
        <references count="1">
          <reference field="3" count="0"/>
        </references>
      </pivotArea>
    </format>
    <format dxfId="8">
      <pivotArea outline="0" fieldPosition="0">
        <references count="1">
          <reference field="4294967294" count="1">
            <x v="1"/>
          </reference>
        </references>
      </pivotArea>
    </format>
    <format dxfId="7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</formats>
  <pivotTableStyleInfo name="PivotStyleLight7" showRowHeaders="1" showColHeaders="1" showRowStripes="1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6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C8AF4437-D742-4009-A878-93CE27DC09FF}" name="Tabela dinâmica3" cacheId="7" applyNumberFormats="0" applyBorderFormats="0" applyFontFormats="0" applyPatternFormats="0" applyAlignmentFormats="0" applyWidthHeightFormats="1" dataCaption="Valores" updatedVersion="8" minRefreshableVersion="3" useAutoFormatting="1" itemPrintTitles="1" createdVersion="8" indent="0" outline="1" outlineData="1" multipleFieldFilters="0">
  <location ref="E3:F7" firstHeaderRow="1" firstDataRow="1" firstDataCol="1"/>
  <pivotFields count="6">
    <pivotField showAll="0"/>
    <pivotField dataField="1" showAll="0"/>
    <pivotField showAll="0"/>
    <pivotField axis="axisRow" showAll="0">
      <items count="5">
        <item x="0"/>
        <item x="1"/>
        <item x="2"/>
        <item m="1" x="3"/>
        <item t="default"/>
      </items>
    </pivotField>
    <pivotField showAll="0"/>
    <pivotField showAll="0"/>
  </pivotFields>
  <rowFields count="1">
    <field x="3"/>
  </rowFields>
  <rowItems count="4">
    <i>
      <x/>
    </i>
    <i>
      <x v="1"/>
    </i>
    <i>
      <x v="2"/>
    </i>
    <i t="grand">
      <x/>
    </i>
  </rowItems>
  <colItems count="1">
    <i/>
  </colItems>
  <dataFields count="1">
    <dataField name="Contagem de Produtos" fld="1" subtotal="count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  <ext xmlns:xpdl="http://schemas.microsoft.com/office/spreadsheetml/2016/pivotdefaultlayout" uri="{747A6164-185A-40DC-8AA5-F01512510D54}">
      <xpdl:pivotTableDefinition16/>
    </ext>
  </extLst>
</pivotTableDefinition>
</file>

<file path=xl/pivotTables/pivotTable7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1475A27-33D2-4EFB-9FDE-D675A787C215}" name="Tabela dinâmica1" cacheId="2" applyNumberFormats="0" applyBorderFormats="0" applyFontFormats="0" applyPatternFormats="0" applyAlignmentFormats="0" applyWidthHeightFormats="1" dataCaption="Valores" tag="7dddb175-a708-4285-8185-68acaac40406" updatedVersion="8" minRefreshableVersion="3" useAutoFormatting="1" subtotalHiddenItems="1" itemPrintTitles="1" createdVersion="8" indent="0" outline="1" outlineData="1" multipleFieldFilters="0" chartFormat="4">
  <location ref="A15:D19" firstHeaderRow="0" firstDataRow="1" firstDataCol="1"/>
  <pivotFields count="4">
    <pivotField axis="axisRow" allDrilled="1" subtotalTop="0" showAll="0" dataSourceSort="1" defaultSubtotal="0" defaultAttributeDrillState="1">
      <items count="3">
        <item x="0"/>
        <item x="1"/>
        <item x="2"/>
      </items>
    </pivotField>
    <pivotField dataField="1" subtotalTop="0" showAll="0" defaultSubtotal="0"/>
    <pivotField dataField="1" subtotalTop="0" showAll="0" defaultSubtotal="0"/>
    <pivotField dataField="1" subtotalTop="0" showAll="0" defaultSubtotal="0"/>
  </pivotFields>
  <rowFields count="1">
    <field x="0"/>
  </rowFields>
  <rowItems count="4">
    <i>
      <x/>
    </i>
    <i>
      <x v="1"/>
    </i>
    <i>
      <x v="2"/>
    </i>
    <i t="grand">
      <x/>
    </i>
  </rowItems>
  <colFields count="1">
    <field x="-2"/>
  </colFields>
  <colItems count="3">
    <i>
      <x/>
    </i>
    <i i="1">
      <x v="1"/>
    </i>
    <i i="2">
      <x v="2"/>
    </i>
  </colItems>
  <dataFields count="3">
    <dataField fld="1" subtotal="count" baseField="0" baseItem="0" numFmtId="9"/>
    <dataField fld="2" subtotal="count" baseField="0" baseItem="0"/>
    <dataField name="Soma de Total" fld="3" baseField="0" baseItem="0" numFmtId="165"/>
  </dataFields>
  <formats count="3">
    <format dxfId="4">
      <pivotArea dataOnly="0" labelOnly="1" outline="0" axis="axisValues" fieldPosition="0"/>
    </format>
    <format dxfId="3">
      <pivotArea outline="0" collapsedLevelsAreSubtotals="1" fieldPosition="0"/>
    </format>
    <format dxfId="2">
      <pivotArea outline="0" collapsedLevelsAreSubtotals="1" fieldPosition="0">
        <references count="1">
          <reference field="4294967294" count="1" selected="0">
            <x v="2"/>
          </reference>
        </references>
      </pivotArea>
    </format>
  </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4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8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E89060B4-2C19-4088-9834-1C848FA891D0}" name="TBDN_Vendas" cacheId="1" applyNumberFormats="0" applyBorderFormats="0" applyFontFormats="0" applyPatternFormats="0" applyAlignmentFormats="0" applyWidthHeightFormats="1" dataCaption="Valores" tag="bc3dc771-d3ba-40d4-8642-502c32103ea2" updatedVersion="8" minRefreshableVersion="5" useAutoFormatting="1" subtotalHiddenItems="1" itemPrintTitles="1" createdVersion="8" indent="0" outline="1" outlineData="1" multipleFieldFilters="0" chartFormat="27">
  <location ref="A3:C12" firstHeaderRow="0" firstDataRow="1" firstDataCol="1"/>
  <pivotFields count="4">
    <pivotField dataField="1" subtotalTop="0" showAll="0" defaultSubtotal="0"/>
    <pivotField dataField="1" subtotalTop="0" showAll="0" defaultSubtotal="0"/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allDrilled="1" subtotalTop="0" showAll="0" dataSourceSort="1" defaultSubtotal="0" defaultAttributeDrillState="1"/>
  </pivotFields>
  <rowFields count="1">
    <field x="2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Qtd" fld="0" baseField="0" baseItem="0"/>
    <dataField name="Soma de Total" fld="1" baseField="0" baseItem="0"/>
  </dataFields>
  <formats count="1">
    <format dxfId="5">
      <pivotArea dataOnly="0" outline="0" fieldPosition="0">
        <references count="1">
          <reference field="4294967294" count="1">
            <x v="1"/>
          </reference>
        </references>
      </pivotArea>
    </format>
  </formats>
  <chartFormats count="4">
    <chartFormat chart="6" format="2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6" format="3" series="1">
      <pivotArea type="data" outline="0" fieldPosition="0">
        <references count="1">
          <reference field="4294967294" count="1" selected="0">
            <x v="1"/>
          </reference>
        </references>
      </pivotArea>
    </chartFormat>
    <chartFormat chart="26" format="6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26" format="7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multipleItemSelectionAllowed="1"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  <x15:activeTabTopLevelEntity name="[TB_Produto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pivotTables/pivotTable9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23D6EE81-5682-47AC-804C-CCA203AE95B8}" name="Tabela dinâmica8" cacheId="0" applyNumberFormats="0" applyBorderFormats="0" applyFontFormats="0" applyPatternFormats="0" applyAlignmentFormats="0" applyWidthHeightFormats="1" dataCaption="Valores" tag="81c63781-664d-4bb8-a96c-dc7a36583f91" updatedVersion="8" minRefreshableVersion="3" useAutoFormatting="1" subtotalHiddenItems="1" itemPrintTitles="1" createdVersion="5" indent="0" outline="1" outlineData="1" multipleFieldFilters="0" chartFormat="2">
  <location ref="B3:D12" firstHeaderRow="0" firstDataRow="1" firstDataCol="1"/>
  <pivotFields count="3">
    <pivotField dataField="1" subtotalTop="0" showAll="0" defaultSubtotal="0"/>
    <pivotField axis="axisRow" allDrilled="1" subtotalTop="0" showAll="0" dataSourceSort="1" defaultSubtotal="0" defaultAttributeDrillState="1">
      <items count="8">
        <item x="0"/>
        <item x="1"/>
        <item x="2"/>
        <item x="3"/>
        <item x="4"/>
        <item x="5"/>
        <item x="6"/>
        <item x="7"/>
      </items>
    </pivotField>
    <pivotField dataField="1" subtotalTop="0" showAll="0" defaultSubtotal="0"/>
  </pivotFields>
  <rowFields count="1">
    <field x="1"/>
  </rowFields>
  <rowItems count="9">
    <i>
      <x/>
    </i>
    <i>
      <x v="1"/>
    </i>
    <i>
      <x v="2"/>
    </i>
    <i>
      <x v="3"/>
    </i>
    <i>
      <x v="4"/>
    </i>
    <i>
      <x v="5"/>
    </i>
    <i>
      <x v="6"/>
    </i>
    <i>
      <x v="7"/>
    </i>
    <i t="grand">
      <x/>
    </i>
  </rowItems>
  <colFields count="1">
    <field x="-2"/>
  </colFields>
  <colItems count="2">
    <i>
      <x/>
    </i>
    <i i="1">
      <x v="1"/>
    </i>
  </colItems>
  <dataFields count="2">
    <dataField name="Soma de Total" fld="0" baseField="0" baseItem="0" numFmtId="165"/>
    <dataField name="Soma de Qtd" fld="2" baseField="0" baseItem="0"/>
  </dataFields>
  <formats count="2">
    <format dxfId="1">
      <pivotArea outline="0" collapsedLevelsAreSubtotals="1" fieldPosition="0">
        <references count="1">
          <reference field="4294967294" count="1" selected="0">
            <x v="0"/>
          </reference>
        </references>
      </pivotArea>
    </format>
    <format dxfId="0">
      <pivotArea dataOnly="0" labelOnly="1" outline="0" fieldPosition="0">
        <references count="1">
          <reference field="4294967294" count="1">
            <x v="0"/>
          </reference>
        </references>
      </pivotArea>
    </format>
  </formats>
  <chartFormats count="2">
    <chartFormat chart="0" format="0" series="1">
      <pivotArea type="data" outline="0" fieldPosition="0">
        <references count="1">
          <reference field="4294967294" count="1" selected="0">
            <x v="0"/>
          </reference>
        </references>
      </pivotArea>
    </chartFormat>
    <chartFormat chart="0" format="1" series="1">
      <pivotArea type="data" outline="0" fieldPosition="0">
        <references count="1">
          <reference field="4294967294" count="1" selected="0">
            <x v="1"/>
          </reference>
        </references>
      </pivotArea>
    </chartFormat>
  </chartFormats>
  <pivotHierarchies count="52"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Row="0" dragToCol="0" dragToPage="0" dragToData="1"/>
    <pivotHierarchy dragToData="1"/>
    <pivotHierarchy dragToData="1"/>
    <pivotHierarchy dragToData="1"/>
    <pivotHierarchy dragToData="1"/>
    <pivotHierarchy dragToData="1"/>
    <pivotHierarchy dragToData="1"/>
  </pivotHierarchies>
  <pivotTableStyleInfo name="PivotStyleLight16" showRowHeaders="1" showColHeaders="1" showRowStripes="0" showColStripes="0" showLastColumn="1"/>
  <rowHierarchiesUsage count="1">
    <rowHierarchyUsage hierarchyUsage="11"/>
  </rowHierarchiesUsage>
  <colHierarchiesUsage count="1">
    <colHierarchyUsage hierarchyUsage="-2"/>
  </colHierarchiesUsage>
  <extLst>
    <ext xmlns:x14="http://schemas.microsoft.com/office/spreadsheetml/2009/9/main" uri="{962EF5D1-5CA2-4c93-8EF4-DBF5C05439D2}">
      <x14:pivotTableDefinition xmlns:xm="http://schemas.microsoft.com/office/excel/2006/main" calculatedMembersInFilters="1" hideValuesRow="1"/>
    </ext>
    <ext xmlns:x15="http://schemas.microsoft.com/office/spreadsheetml/2010/11/main" uri="{E67621CE-5B39-4880-91FE-76760E9C1902}">
      <x15:pivotTableUISettings>
        <x15:activeTabTopLevelEntity name="[TB_Vendas]"/>
      </x15:pivotTableUISettings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queryTables/queryTable1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connectionId="2" xr16:uid="{1809186A-A498-4B78-A8FA-5CCE79B54100}" autoFormatId="16" applyNumberFormats="0" applyBorderFormats="0" applyFontFormats="0" applyPatternFormats="0" applyAlignmentFormats="0" applyWidthHeightFormats="0">
  <queryTableRefresh nextId="10">
    <queryTableFields count="9">
      <queryTableField id="1" name="Data" tableColumnId="1"/>
      <queryTableField id="2" name="Código" tableColumnId="2"/>
      <queryTableField id="3" name="Categoria" tableColumnId="3"/>
      <queryTableField id="4" name="Qtd" tableColumnId="4"/>
      <queryTableField id="5" name="Preço Unitário" tableColumnId="5"/>
      <queryTableField id="6" name="Desconto Final" tableColumnId="6"/>
      <queryTableField id="7" name="Total" tableColumnId="7"/>
      <queryTableField id="9" dataBound="0" tableColumnId="9"/>
      <queryTableField id="8" name="Vendedor" tableColumnId="8"/>
    </queryTableFields>
  </queryTableRefresh>
</queryTable>
</file>

<file path=xl/queryTables/queryTable2.xml><?xml version="1.0" encoding="utf-8"?>
<queryTable xmlns="http://schemas.openxmlformats.org/spreadsheetml/2006/main" xmlns:mc="http://schemas.openxmlformats.org/markup-compatibility/2006" xmlns:xr16="http://schemas.microsoft.com/office/spreadsheetml/2017/revision16" mc:Ignorable="xr16" name="DadosExternos_1" backgroundRefresh="0" connectionId="3" xr16:uid="{D24419B0-5A37-499F-87B1-0B89F7183667}" autoFormatId="16" applyNumberFormats="0" applyBorderFormats="0" applyFontFormats="0" applyPatternFormats="0" applyAlignmentFormats="0" applyWidthHeightFormats="0">
  <queryTableRefresh nextId="15">
    <queryTableFields count="14">
      <queryTableField id="1" name="TB_Vendas[Nº]" tableColumnId="1"/>
      <queryTableField id="2" name="TB_Vendas[Mês]" tableColumnId="2"/>
      <queryTableField id="3" name="TB_Vendas[Data]" tableColumnId="3"/>
      <queryTableField id="4" name="TB_Vendas[Código]" tableColumnId="4"/>
      <queryTableField id="5" name="TB_Vendas[Categoria]" tableColumnId="5"/>
      <queryTableField id="6" name="TB_Vendas[Qtd]" tableColumnId="6"/>
      <queryTableField id="7" name="TB_Vendas[Preço Unitário]" tableColumnId="7"/>
      <queryTableField id="8" name="TB_Vendas[Indice]" tableColumnId="8"/>
      <queryTableField id="9" name="TB_Vendas[Desconto  (Passo a Passo)]" tableColumnId="9"/>
      <queryTableField id="10" name="TB_Vendas[Desconto  (Diretão)]" tableColumnId="10"/>
      <queryTableField id="11" name="TB_Vendas[Desconto  (Vendedor)]" tableColumnId="11"/>
      <queryTableField id="12" name="TB_Vendas[Desconto Final]" tableColumnId="12"/>
      <queryTableField id="13" name="TB_Vendas[Total]" tableColumnId="13"/>
      <queryTableField id="14" name="TB_Vendas[Vendedor]" tableColumnId="14"/>
    </queryTableFields>
  </queryTableRefresh>
  <extLst>
    <ext xmlns:x15="http://schemas.microsoft.com/office/spreadsheetml/2010/11/main" uri="{883FBD77-0823-4a55-B5E3-86C4891E6966}">
      <x15:queryTable drillThrough="1"/>
    </ext>
  </extLst>
</queryTable>
</file>

<file path=xl/slicerCaches/slicerCache1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" xr10:uid="{F015E3F8-E4D5-4A5D-A9FC-E6A0266F8A51}" sourceName="[TB_Produtos].[Categoria]">
  <pivotTables>
    <pivotTable tabId="37" name="TBDN_Vendas"/>
  </pivotTables>
  <data>
    <olap pivotCacheId="1986883922">
      <levels count="2">
        <level uniqueName="[TB_Produtos].[Categoria].[(All)]" sourceCaption="(All)" count="0"/>
        <level uniqueName="[TB_Produtos].[Categoria].[Categoria]" sourceCaption="Categoria" count="3">
          <ranges>
            <range startItem="0">
              <i n="[TB_Produtos].[Categoria].&amp;[Acessórios]" c="Acessórios"/>
              <i n="[TB_Produtos].[Categoria].&amp;[Calçado]" c="Calçado"/>
              <i n="[TB_Produtos].[Categoria].&amp;[Vestuário]" c="Vestuário"/>
            </range>
          </ranges>
        </level>
      </levels>
      <selections count="1">
        <selection n="[TB_Produtos].[Categoria].[All]"/>
      </selections>
    </olap>
  </data>
</slicerCacheDefinition>
</file>

<file path=xl/slicerCaches/slicerCache2.xml><?xml version="1.0" encoding="utf-8"?>
<slicerCacheDefinition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 name="SegmentaçãodeDados_Categoria1" xr10:uid="{54E26E9F-7892-4ED2-B74F-11910F4F3CC5}" sourceName="Categoria">
  <pivotTables>
    <pivotTable tabId="35" name="TBDN_Produtos"/>
    <pivotTable tabId="35" name="Tabela dinâmica3"/>
  </pivotTables>
  <data>
    <tabular pivotCacheId="188848658">
      <items count="4">
        <i x="0" s="1"/>
        <i x="1" s="1"/>
        <i x="2" s="1"/>
        <i x="3" s="1" nd="1"/>
      </items>
    </tabular>
  </data>
</slicerCacheDefinition>
</file>

<file path=xl/slicers/slicer1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 1" xr10:uid="{6404326A-D211-4EA3-8165-FC1463C7F321}" cache="SegmentaçãodeDados_Categoria1" caption="Categoria" columnCount="3" style="SlicerStyleLight6" rowHeight="241300"/>
</slicers>
</file>

<file path=xl/slicers/slicer2.xml><?xml version="1.0" encoding="utf-8"?>
<slicers xmlns="http://schemas.microsoft.com/office/spreadsheetml/2009/9/main" xmlns:mc="http://schemas.openxmlformats.org/markup-compatibility/2006" xmlns:x="http://schemas.openxmlformats.org/spreadsheetml/2006/main" xmlns:xr10="http://schemas.microsoft.com/office/spreadsheetml/2016/revision10" mc:Ignorable="x xr10">
  <slicer name="Categoria" xr10:uid="{508C0975-F404-48B1-9BE6-5D30A2BFC7E4}" cache="SegmentaçãodeDados_Categoria" caption="Categoria" level="1" rowHeight="241300"/>
</slicer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40AC111B-A369-4C0B-9503-7C5B9442DAEA}" name="TB_Produtos" displayName="TB_Produtos" ref="B6:G66" totalsRowShown="0" headerRowDxfId="43">
  <tableColumns count="6">
    <tableColumn id="1" xr3:uid="{2F8ED5FF-48A1-488E-9DF1-FE060F71A415}" name="Código" dataDxfId="42"/>
    <tableColumn id="2" xr3:uid="{E100D4E2-C3A0-43FF-A1D9-90A4BC2A9918}" name="Produtos"/>
    <tableColumn id="3" xr3:uid="{2EF7FEE0-6B6F-4534-86A0-46B6555B7BEF}" name="Tamanho" dataDxfId="41"/>
    <tableColumn id="4" xr3:uid="{4435A4B8-E7F0-4D66-A4F8-6A9FEAA36D5A}" name="Categoria"/>
    <tableColumn id="6" xr3:uid="{15F9CACC-A558-4A20-80CF-C2ADA2603221}" name="Estoque" dataDxfId="40"/>
    <tableColumn id="5" xr3:uid="{CA8AD0DE-58EC-4839-85FB-1DD75DA28087}" name="Preço Unitário" dataDxfId="39"/>
  </tableColumns>
  <tableStyleInfo name="TableStyleLight8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AD739091-30BD-4C30-BDDA-7504C0C4B6E2}" name="TB_Vendas" displayName="TB_Vendas" ref="A4:N86" totalsRowShown="0" headerRowDxfId="35" dataDxfId="34" headerRowCellStyle="Cabeçalho Meteora">
  <autoFilter ref="A4:N86" xr:uid="{AD739091-30BD-4C30-BDDA-7504C0C4B6E2}"/>
  <tableColumns count="14">
    <tableColumn id="7" xr3:uid="{5E8DE7C3-CDB6-4314-A5CC-C44D3C21973F}" name="Nº" dataDxfId="33">
      <calculatedColumnFormula>MONTH(TB_Vendas[[#This Row],[Data]])</calculatedColumnFormula>
    </tableColumn>
    <tableColumn id="10" xr3:uid="{BD1ABB49-B48B-4C50-A034-45488FDC03A8}" name="Mês" dataDxfId="32">
      <calculatedColumnFormula>PROPER(TEXT(DATE(,TB_Vendas[[#This Row],[Nº]],1),"Mmm"))</calculatedColumnFormula>
    </tableColumn>
    <tableColumn id="1" xr3:uid="{43632F1F-6978-4CE7-BB13-7CCE587D6821}" name="Data" dataDxfId="31"/>
    <tableColumn id="12" xr3:uid="{205A55AB-454E-4288-AE23-042C3C399E7A}" name="Código" dataDxfId="30"/>
    <tableColumn id="16" xr3:uid="{059789B1-50A2-47F3-849D-D1EE26B94731}" name="Categoria" dataDxfId="29">
      <calculatedColumnFormula>_xlfn.XLOOKUP(TB_Vendas[[#This Row],[Código]],TB_Produtos[Código],TB_Produtos[Categoria])</calculatedColumnFormula>
    </tableColumn>
    <tableColumn id="5" xr3:uid="{7DC2ADED-AF8A-4BC8-A38E-FEF676FE49C9}" name="Qtd" dataDxfId="28"/>
    <tableColumn id="9" xr3:uid="{05B7315B-2774-41BC-AFEC-4A19E452D6C7}" name="Preço Unitário" dataDxfId="27">
      <calculatedColumnFormula>VLOOKUP(TB_Vendas[[#This Row],[Código]],Produtos!$B$6:$G$66,6,0)</calculatedColumnFormula>
    </tableColumn>
    <tableColumn id="18" xr3:uid="{152BED38-8D5F-4FAA-8C38-58740E2353E5}" name="Indice" dataDxfId="26">
      <calculatedColumnFormula>_xlfn.XMATCH(TB_Vendas[[#This Row],[Categoria]],Desc_Categorias,0)</calculatedColumnFormula>
    </tableColumn>
    <tableColumn id="17" xr3:uid="{C4E78734-94D7-4D31-B07D-5609B855AC0F}" name="Desconto _x000a_(Passo a Passo)" dataDxfId="25" dataCellStyle="Porcentagem">
      <calculatedColumnFormula>VLOOKUP(TB_Vendas[[#This Row],[Qtd]],Desc_TabelaToda,TB_Vendas[[#This Row],[Indice]],TRUE)</calculatedColumnFormula>
    </tableColumn>
    <tableColumn id="2" xr3:uid="{4BEBDE19-FA81-4412-AC83-E0AE6998A9B4}" name="Desconto _x000a_(Diretão)" dataDxfId="24" dataCellStyle="Porcentagem">
      <calculatedColumnFormula array="1">INDEX(Desc_TabelaToda,MATCH(TB_Vendas[[#This Row],[Qtd]],Desc_Quantidades,1),MATCH(_xlfn.XLOOKUP(TB_Vendas[[#This Row],[Código]],TB_Produtos[[#All],[Código]],TB_Produtos[[#All],[Categoria]]),Desc_Categorias,0))</calculatedColumnFormula>
    </tableColumn>
    <tableColumn id="3" xr3:uid="{A390EF1B-6262-46F1-9157-812330B340F7}" name="Desconto _x000a_(Vendedor)" dataDxfId="23" dataCellStyle="Porcentagem">
      <calculatedColumnFormula>_xlfn.XLOOKUP(TB_Vendas[[#This Row],[Vendedor]],Vendedores!$A$5:$A$9,Vendedores!$D$5:$D$9)</calculatedColumnFormula>
    </tableColumn>
    <tableColumn id="4" xr3:uid="{0BDC1FEC-277F-4592-AE4E-EB3C0FEF2F34}" name="Desconto Final" dataDxfId="22" dataCellStyle="Porcentagem">
      <calculatedColumnFormula>IF(TB_Vendas[[#This Row],[Desconto 
(Diretão)]]&lt;=TB_Vendas[[#This Row],[Desconto 
(Vendedor)]],TB_Vendas[[#This Row],[Desconto 
(Diretão)]],TB_Vendas[[#This Row],[Desconto 
(Vendedor)]])</calculatedColumnFormula>
    </tableColumn>
    <tableColumn id="6" xr3:uid="{9459B662-6A4F-4486-82B1-12F67B8F842E}" name="Total" dataDxfId="21">
      <calculatedColumnFormula>TB_Vendas[[#This Row],[Preço Unitário]]*TB_Vendas[[#This Row],[Qtd]]</calculatedColumnFormula>
    </tableColumn>
    <tableColumn id="8" xr3:uid="{192FEBCA-1287-48A6-9BE6-69528F71C305}" name="Vendedor" dataDxfId="20"/>
  </tableColumns>
  <tableStyleInfo name="TableStyleLight8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646581C2-A759-443B-9009-C10C63E90BE4}" name="Vendas__2" displayName="Vendas__2" ref="A1:I253" tableType="queryTable" totalsRowShown="0">
  <autoFilter ref="A1:I253" xr:uid="{646581C2-A759-443B-9009-C10C63E90BE4}"/>
  <tableColumns count="9">
    <tableColumn id="1" xr3:uid="{1F6642C7-CD3D-4E09-B038-BAE8C515C936}" uniqueName="1" name="Data" queryTableFieldId="1" dataDxfId="15"/>
    <tableColumn id="2" xr3:uid="{91B21E16-5890-4808-9556-BDC584D8214B}" uniqueName="2" name="Código" queryTableFieldId="2" dataDxfId="14"/>
    <tableColumn id="3" xr3:uid="{61082725-C9E6-426A-8E47-5D0AF8643050}" uniqueName="3" name="Categoria" queryTableFieldId="3" dataDxfId="13"/>
    <tableColumn id="4" xr3:uid="{D4BA1926-129F-44EC-8A85-B959C19B5B2D}" uniqueName="4" name="Qtd" queryTableFieldId="4"/>
    <tableColumn id="5" xr3:uid="{AA48E28E-BA78-479C-9112-E27D408EC760}" uniqueName="5" name="Preço Unitário" queryTableFieldId="5"/>
    <tableColumn id="6" xr3:uid="{7202946F-8DE4-400C-AC0A-6A139591B350}" uniqueName="6" name="Desconto Final" queryTableFieldId="6"/>
    <tableColumn id="7" xr3:uid="{B2A6EA13-6026-4254-905C-A2B9B3BD61CB}" uniqueName="7" name="Total" queryTableFieldId="7"/>
    <tableColumn id="9" xr3:uid="{D695FFA0-3875-4745-AC6E-EAD3B16FB92A}" uniqueName="9" name="Nome_Vend" queryTableFieldId="9" dataDxfId="12">
      <calculatedColumnFormula>_xlfn.XLOOKUP(Vendas__2[[#This Row],[Vendedor]],Vendedores!$A$4:$A$9,Vendedores!$B$4:$B$9,"",0)</calculatedColumnFormula>
    </tableColumn>
    <tableColumn id="8" xr3:uid="{2C23C980-92E1-484C-8BB1-448929A87132}" uniqueName="8" name="Vendedor" queryTableFieldId="8" dataDxfId="11"/>
  </tableColumns>
  <tableStyleInfo name="TableStyleMedium7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BB6A304F-E210-435B-8E93-DC84BBCB1FEB}" name="Tabela_DadosExternos_1" displayName="Tabela_DadosExternos_1" ref="A3:N14" tableType="queryTable" totalsRowShown="0">
  <autoFilter ref="A3:N14" xr:uid="{BB6A304F-E210-435B-8E93-DC84BBCB1FEB}"/>
  <tableColumns count="14">
    <tableColumn id="1" xr3:uid="{67C4427C-F921-47DF-B6B4-D4094F24A81F}" uniqueName="1" name="TB_Vendas[Nº]" queryTableFieldId="1"/>
    <tableColumn id="2" xr3:uid="{D44332D0-1261-469F-9FE3-AFA87E64A7B2}" uniqueName="2" name="TB_Vendas[Mês]" queryTableFieldId="2"/>
    <tableColumn id="3" xr3:uid="{D725B5BD-AA9F-492C-B114-165EDD58A584}" uniqueName="3" name="TB_Vendas[Data]" queryTableFieldId="3" dataDxfId="6"/>
    <tableColumn id="4" xr3:uid="{89928ACF-8350-43DF-8EFC-3FF510EB583B}" uniqueName="4" name="TB_Vendas[Código]" queryTableFieldId="4"/>
    <tableColumn id="5" xr3:uid="{4D9EB7DA-ADD3-400B-BBCE-3E8C3A065E0C}" uniqueName="5" name="TB_Vendas[Categoria]" queryTableFieldId="5"/>
    <tableColumn id="6" xr3:uid="{3CF14A39-C322-4E27-A633-F67EFA7FFAD2}" uniqueName="6" name="TB_Vendas[Qtd]" queryTableFieldId="6"/>
    <tableColumn id="7" xr3:uid="{FED4E397-584A-47C3-970D-79476051C817}" uniqueName="7" name="TB_Vendas[Preço Unitário]" queryTableFieldId="7"/>
    <tableColumn id="8" xr3:uid="{A97B6F44-71E2-42DF-A865-EAF94A7086C6}" uniqueName="8" name="TB_Vendas[Indice]" queryTableFieldId="8"/>
    <tableColumn id="9" xr3:uid="{D7C618A3-2805-4F2F-A317-4452F04998BD}" uniqueName="9" name="TB_Vendas[Desconto  (Passo a Passo)]" queryTableFieldId="9"/>
    <tableColumn id="10" xr3:uid="{25507587-7C38-424B-8766-2C407299FA11}" uniqueName="10" name="TB_Vendas[Desconto  (Diretão)]" queryTableFieldId="10"/>
    <tableColumn id="11" xr3:uid="{66761C6F-C910-4140-B120-17983DD0354D}" uniqueName="11" name="TB_Vendas[Desconto  (Vendedor)]" queryTableFieldId="11"/>
    <tableColumn id="12" xr3:uid="{9CD1970E-DDF2-432B-BB3D-B06260B6B5E3}" uniqueName="12" name="TB_Vendas[Desconto Final]" queryTableFieldId="12"/>
    <tableColumn id="13" xr3:uid="{9FB5DF7C-7B86-466C-94D5-1E3082CD0E12}" uniqueName="13" name="TB_Vendas[Total]" queryTableFieldId="13"/>
    <tableColumn id="14" xr3:uid="{B7FD3BC1-BD6D-42FC-8227-549DAB2D1608}" uniqueName="14" name="TB_Vendas[Vendedor]" queryTableFieldId="14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Tema do Office">
  <a:themeElements>
    <a:clrScheme name="Loja Meteora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000000"/>
      </a:accent1>
      <a:accent2>
        <a:srgbClr val="DAFF01"/>
      </a:accent2>
      <a:accent3>
        <a:srgbClr val="CCCCCC"/>
      </a:accent3>
      <a:accent4>
        <a:srgbClr val="F87F46"/>
      </a:accent4>
      <a:accent5>
        <a:srgbClr val="EE6471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timelineCaches/timelineCache1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a" xr10:uid="{5B80E348-6BF1-4FC1-998C-775BF54BADEC}" sourceName="[TB_Vendas].[Data]">
  <pivotTables>
    <pivotTable tabId="37" name="TBDN_Vendas"/>
  </pivotTables>
  <state minimalRefreshVersion="6" lastRefreshVersion="6" pivotCacheId="1335530073" filterType="unknown">
    <bounds startDate="2023-01-01T00:00:00" endDate="2024-01-01T00:00:00"/>
  </state>
</timelineCacheDefinition>
</file>

<file path=xl/timelineCaches/timelineCache2.xml><?xml version="1.0" encoding="utf-8"?>
<timelineCacheDefinition xmlns="http://schemas.microsoft.com/office/spreadsheetml/2010/11/main" xmlns:x15="http://schemas.microsoft.com/office/spreadsheetml/2010/11/main" xmlns:mc="http://schemas.openxmlformats.org/markup-compatibility/2006" xmlns:xr10="http://schemas.microsoft.com/office/spreadsheetml/2016/revision10" mc:Ignorable="xr10" name="Timeline_Data1" xr10:uid="{6700C020-3EB1-43F8-9C29-2BE50A763A51}" sourceName="[Vendas__2].[Data]">
  <pivotTables>
    <pivotTable tabId="48" name="Tabela dinâmica9"/>
  </pivotTables>
  <state minimalRefreshVersion="6" lastRefreshVersion="6" pivotCacheId="630550765" filterType="unknown">
    <bounds startDate="2021-01-01T00:00:00" endDate="2023-01-01T00:00:00"/>
  </state>
</timelineCacheDefinition>
</file>

<file path=xl/timelines/timeline1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1" xr10:uid="{8C607BAB-5AE8-46E0-A9F4-07B16BE3F378}" cache="Timeline_Data1" caption="Data" level="2" selectionLevel="2" scrollPosition="2022-05-08T00:00:00"/>
</timelines>
</file>

<file path=xl/timelines/timeline2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" xr10:uid="{072E787E-012C-46AD-B755-81E0DF553732}" cache="Timeline_Data" caption="Data" level="2" selectionLevel="2" scrollPosition="2023-01-01T00:00:00"/>
</timelines>
</file>

<file path=xl/timelines/timeline3.xml><?xml version="1.0" encoding="utf-8"?>
<timelines xmlns="http://schemas.microsoft.com/office/spreadsheetml/2010/11/main" xmlns:mc="http://schemas.openxmlformats.org/markup-compatibility/2006" xmlns:x="http://schemas.openxmlformats.org/spreadsheetml/2006/main" xmlns:xr10="http://schemas.microsoft.com/office/spreadsheetml/2016/revision10" mc:Ignorable="x xr10">
  <timeline name="Data 2" xr10:uid="{DC08D51F-61CC-4DC5-9CB4-8C4484D3052F}" cache="Timeline_Data1" caption="Data" showSelectionLabel="0" showTimeLevel="0" level="2" selectionLevel="2" scrollPosition="2022-02-26T00:00:00" style="TimeSlicerStyleDark6"/>
</timelines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3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4.xml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5.xml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pivotTable" Target="../pivotTables/pivotTable4.xml"/><Relationship Id="rId2" Type="http://schemas.openxmlformats.org/officeDocument/2006/relationships/pivotTable" Target="../pivotTables/pivotTable3.xml"/><Relationship Id="rId1" Type="http://schemas.openxmlformats.org/officeDocument/2006/relationships/pivotTable" Target="../pivotTables/pivotTable2.xml"/><Relationship Id="rId5" Type="http://schemas.microsoft.com/office/2011/relationships/timeline" Target="../timelines/timeline1.xml"/><Relationship Id="rId4" Type="http://schemas.openxmlformats.org/officeDocument/2006/relationships/drawing" Target="../drawings/drawing6.xml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7.xml"/></Relationships>
</file>

<file path=xl/worksheets/_rels/sheet10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ivotTable" Target="../pivotTables/pivotTable6.xml"/><Relationship Id="rId1" Type="http://schemas.openxmlformats.org/officeDocument/2006/relationships/pivotTable" Target="../pivotTables/pivotTable5.xml"/><Relationship Id="rId4" Type="http://schemas.microsoft.com/office/2007/relationships/slicer" Target="../slicers/slicer1.xml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12.xml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ivotTable" Target="../pivotTables/pivotTable8.xml"/><Relationship Id="rId1" Type="http://schemas.openxmlformats.org/officeDocument/2006/relationships/pivotTable" Target="../pivotTables/pivotTable7.xml"/><Relationship Id="rId5" Type="http://schemas.microsoft.com/office/2011/relationships/timeline" Target="../timelines/timeline2.xml"/><Relationship Id="rId4" Type="http://schemas.microsoft.com/office/2007/relationships/slicer" Target="../slicers/slicer2.xml"/></Relationships>
</file>

<file path=xl/worksheets/_rels/sheet1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0.xml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ivotTable" Target="../pivotTables/pivotTable9.xml"/></Relationships>
</file>

<file path=xl/worksheets/_rels/sheet15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12.xml"/><Relationship Id="rId5" Type="http://schemas.microsoft.com/office/2011/relationships/timeline" Target="../timelines/timeline3.xml"/><Relationship Id="rId4" Type="http://schemas.openxmlformats.org/officeDocument/2006/relationships/ctrlProp" Target="../ctrlProps/ctrlProp3.xml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918459-A54B-43BC-8015-18FA787E0663}">
  <sheetPr codeName="Planilha1"/>
  <dimension ref="A1:L16"/>
  <sheetViews>
    <sheetView workbookViewId="0">
      <pane activePane="bottomRight" state="frozen"/>
      <selection sqref="A1:L6"/>
    </sheetView>
  </sheetViews>
  <sheetFormatPr defaultColWidth="0" defaultRowHeight="14.4" zeroHeight="1"/>
  <cols>
    <col min="1" max="12" width="8.88671875" customWidth="1"/>
    <col min="13" max="16384" width="8.88671875" hidden="1"/>
  </cols>
  <sheetData>
    <row r="1" spans="1:12">
      <c r="A1" s="74"/>
      <c r="B1" s="74"/>
      <c r="C1" s="74"/>
      <c r="D1" s="74"/>
      <c r="E1" s="74"/>
      <c r="F1" s="74"/>
      <c r="G1" s="74"/>
      <c r="H1" s="74"/>
      <c r="I1" s="74"/>
      <c r="J1" s="74"/>
      <c r="K1" s="74"/>
      <c r="L1" s="74"/>
    </row>
    <row r="2" spans="1:12">
      <c r="A2" s="74"/>
      <c r="B2" s="74"/>
      <c r="C2" s="74"/>
      <c r="D2" s="74"/>
      <c r="E2" s="74"/>
      <c r="F2" s="74"/>
      <c r="G2" s="74"/>
      <c r="H2" s="74"/>
      <c r="I2" s="74"/>
      <c r="J2" s="74"/>
      <c r="K2" s="74"/>
      <c r="L2" s="74"/>
    </row>
    <row r="3" spans="1:12">
      <c r="A3" s="74"/>
      <c r="B3" s="74"/>
      <c r="C3" s="74"/>
      <c r="D3" s="74"/>
      <c r="E3" s="74"/>
      <c r="F3" s="74"/>
      <c r="G3" s="74"/>
      <c r="H3" s="74"/>
      <c r="I3" s="74"/>
      <c r="J3" s="74"/>
      <c r="K3" s="74"/>
      <c r="L3" s="74"/>
    </row>
    <row r="4" spans="1:12">
      <c r="A4" s="74"/>
      <c r="B4" s="74"/>
      <c r="C4" s="74"/>
      <c r="D4" s="74"/>
      <c r="E4" s="74"/>
      <c r="F4" s="74"/>
      <c r="G4" s="74"/>
      <c r="H4" s="74"/>
      <c r="I4" s="74"/>
      <c r="J4" s="74"/>
      <c r="K4" s="74"/>
      <c r="L4" s="74"/>
    </row>
    <row r="5" spans="1:12">
      <c r="A5" s="74"/>
      <c r="B5" s="74"/>
      <c r="C5" s="74"/>
      <c r="D5" s="74"/>
      <c r="E5" s="74"/>
      <c r="F5" s="74"/>
      <c r="G5" s="74"/>
      <c r="H5" s="74"/>
      <c r="I5" s="74"/>
      <c r="J5" s="74"/>
      <c r="K5" s="74"/>
      <c r="L5" s="74"/>
    </row>
    <row r="6" spans="1:12">
      <c r="A6" s="74"/>
      <c r="B6" s="74"/>
      <c r="C6" s="74"/>
      <c r="D6" s="74"/>
      <c r="E6" s="74"/>
      <c r="F6" s="74"/>
      <c r="G6" s="74"/>
      <c r="H6" s="74"/>
      <c r="I6" s="74"/>
      <c r="J6" s="74"/>
      <c r="K6" s="74"/>
      <c r="L6" s="74"/>
    </row>
    <row r="7" spans="1:12">
      <c r="A7" s="13"/>
      <c r="B7" s="13"/>
      <c r="C7" s="13"/>
      <c r="D7" s="13"/>
      <c r="E7" s="13"/>
      <c r="F7" s="13"/>
      <c r="G7" s="13"/>
      <c r="H7" s="13"/>
      <c r="I7" s="13"/>
      <c r="J7" s="13"/>
      <c r="K7" s="13"/>
      <c r="L7" s="13"/>
    </row>
    <row r="8" spans="1:12">
      <c r="A8" s="13"/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</row>
    <row r="9" spans="1:12">
      <c r="A9" s="13"/>
      <c r="B9" s="13"/>
      <c r="C9" s="13"/>
      <c r="D9" s="13"/>
      <c r="E9" s="13"/>
      <c r="F9" s="13"/>
      <c r="G9" s="13"/>
      <c r="H9" s="13"/>
      <c r="I9" s="13"/>
      <c r="J9" s="13"/>
      <c r="K9" s="13"/>
      <c r="L9" s="13"/>
    </row>
    <row r="10" spans="1:12">
      <c r="A10" s="13"/>
      <c r="B10" s="13"/>
      <c r="C10" s="13"/>
      <c r="D10" s="13"/>
      <c r="E10" s="13"/>
      <c r="F10" s="13"/>
      <c r="G10" s="13"/>
      <c r="H10" s="13"/>
      <c r="I10" s="13"/>
      <c r="J10" s="13"/>
      <c r="K10" s="13"/>
      <c r="L10" s="13"/>
    </row>
    <row r="11" spans="1:12">
      <c r="A11" s="13"/>
      <c r="B11" s="13"/>
      <c r="C11" s="13"/>
      <c r="D11" s="13"/>
      <c r="E11" s="13"/>
      <c r="F11" s="13"/>
      <c r="G11" s="13"/>
      <c r="H11" s="13"/>
      <c r="I11" s="13"/>
      <c r="J11" s="13"/>
      <c r="K11" s="13"/>
      <c r="L11" s="13"/>
    </row>
    <row r="12" spans="1:12">
      <c r="A12" s="13"/>
      <c r="B12" s="13"/>
      <c r="C12" s="13"/>
      <c r="D12" s="13"/>
      <c r="E12" s="13"/>
      <c r="F12" s="13"/>
      <c r="G12" s="13"/>
      <c r="H12" s="13"/>
      <c r="I12" s="13"/>
      <c r="J12" s="13"/>
      <c r="K12" s="13"/>
      <c r="L12" s="13"/>
    </row>
    <row r="13" spans="1:12">
      <c r="A13" s="13"/>
      <c r="B13" s="13"/>
      <c r="C13" s="13"/>
      <c r="D13" s="13"/>
      <c r="E13" s="13"/>
      <c r="F13" s="13"/>
      <c r="G13" s="13"/>
      <c r="H13" s="13"/>
      <c r="I13" s="13"/>
      <c r="J13" s="13"/>
      <c r="K13" s="13"/>
      <c r="L13" s="13"/>
    </row>
    <row r="14" spans="1:12">
      <c r="A14" s="13"/>
      <c r="B14" s="13"/>
      <c r="C14" s="13"/>
      <c r="D14" s="13"/>
      <c r="E14" s="13"/>
      <c r="F14" s="13"/>
      <c r="G14" s="13"/>
      <c r="H14" s="13"/>
      <c r="I14" s="13"/>
      <c r="J14" s="13"/>
      <c r="K14" s="13"/>
      <c r="L14" s="13"/>
    </row>
    <row r="15" spans="1:12">
      <c r="A15" s="13"/>
      <c r="B15" s="13"/>
      <c r="C15" s="13"/>
      <c r="D15" s="13"/>
      <c r="E15" s="13"/>
      <c r="F15" s="13"/>
      <c r="G15" s="13"/>
      <c r="H15" s="13"/>
      <c r="I15" s="13"/>
      <c r="J15" s="13"/>
      <c r="K15" s="13"/>
      <c r="L15" s="13"/>
    </row>
    <row r="16" spans="1:12">
      <c r="A16" s="13"/>
      <c r="B16" s="13"/>
      <c r="C16" s="13"/>
      <c r="D16" s="13"/>
      <c r="E16" s="13"/>
      <c r="F16" s="13"/>
      <c r="G16" s="13"/>
      <c r="H16" s="13"/>
      <c r="I16" s="13"/>
      <c r="J16" s="13"/>
      <c r="K16" s="13"/>
      <c r="L16" s="13"/>
    </row>
  </sheetData>
  <sheetProtection sheet="1" objects="1" scenarios="1" selectLockedCells="1"/>
  <mergeCells count="1">
    <mergeCell ref="A1:L6"/>
  </mergeCells>
  <pageMargins left="0.511811024" right="0.511811024" top="0.78740157499999996" bottom="0.78740157499999996" header="0.31496062000000002" footer="0.31496062000000002"/>
  <drawing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ADA2D8-DE9E-4ACF-B5A7-8907124C5CF1}">
  <sheetPr codeName="Planilha2"/>
  <dimension ref="A1:I66"/>
  <sheetViews>
    <sheetView showGridLines="0" topLeftCell="C1" zoomScale="120" zoomScaleNormal="120" workbookViewId="0">
      <pane ySplit="1" topLeftCell="A47" activePane="bottomLeft" state="frozen"/>
      <selection pane="bottomLeft" activeCell="B6" sqref="B6:G7"/>
    </sheetView>
  </sheetViews>
  <sheetFormatPr defaultColWidth="0" defaultRowHeight="14.4"/>
  <cols>
    <col min="1" max="1" width="8.44140625" customWidth="1"/>
    <col min="2" max="2" width="18.33203125" bestFit="1" customWidth="1"/>
    <col min="3" max="3" width="22.6640625" style="1" customWidth="1"/>
    <col min="4" max="4" width="14" bestFit="1" customWidth="1"/>
    <col min="5" max="5" width="17.109375" bestFit="1" customWidth="1"/>
    <col min="6" max="6" width="13.109375" customWidth="1"/>
    <col min="7" max="7" width="22.88671875" bestFit="1" customWidth="1"/>
    <col min="8" max="8" width="8.88671875" customWidth="1"/>
    <col min="9" max="16384" width="8.88671875" hidden="1"/>
  </cols>
  <sheetData>
    <row r="1" spans="1:9" s="13" customFormat="1" ht="40.200000000000003" customHeight="1">
      <c r="A1" s="16"/>
      <c r="B1" s="20" t="s">
        <v>121</v>
      </c>
      <c r="C1" s="20"/>
      <c r="D1" s="20"/>
      <c r="E1" s="20"/>
      <c r="F1" s="20"/>
      <c r="G1" s="20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18" customHeight="1">
      <c r="A4" s="19"/>
      <c r="B4" s="19"/>
      <c r="D4" s="15"/>
      <c r="E4" s="15"/>
      <c r="F4" s="15"/>
    </row>
    <row r="5" spans="1:9" ht="4.95" customHeight="1">
      <c r="A5" s="15"/>
      <c r="B5" s="15"/>
      <c r="C5" s="15"/>
      <c r="D5" s="15"/>
      <c r="E5" s="15"/>
      <c r="F5" s="15"/>
    </row>
    <row r="6" spans="1:9" s="1" customFormat="1" ht="18">
      <c r="B6" s="9" t="s">
        <v>30</v>
      </c>
      <c r="C6" s="9" t="s">
        <v>0</v>
      </c>
      <c r="D6" s="9" t="s">
        <v>1</v>
      </c>
      <c r="E6" s="9" t="s">
        <v>10</v>
      </c>
      <c r="F6" s="9" t="s">
        <v>76</v>
      </c>
      <c r="G6" s="9" t="s">
        <v>11</v>
      </c>
      <c r="H6" s="9"/>
    </row>
    <row r="7" spans="1:9">
      <c r="B7" s="1" t="s">
        <v>32</v>
      </c>
      <c r="C7" t="s">
        <v>5</v>
      </c>
      <c r="D7" s="1" t="s">
        <v>2</v>
      </c>
      <c r="E7" t="s">
        <v>12</v>
      </c>
      <c r="F7" s="1">
        <v>48</v>
      </c>
      <c r="G7" s="2">
        <v>65.900000000000006</v>
      </c>
    </row>
    <row r="8" spans="1:9">
      <c r="B8" s="1" t="s">
        <v>33</v>
      </c>
      <c r="C8" t="s">
        <v>5</v>
      </c>
      <c r="D8" s="1" t="s">
        <v>3</v>
      </c>
      <c r="E8" t="s">
        <v>12</v>
      </c>
      <c r="F8" s="1">
        <v>17</v>
      </c>
      <c r="G8" s="2">
        <v>69.900000000000006</v>
      </c>
    </row>
    <row r="9" spans="1:9">
      <c r="B9" s="1" t="s">
        <v>34</v>
      </c>
      <c r="C9" t="s">
        <v>5</v>
      </c>
      <c r="D9" s="1" t="s">
        <v>4</v>
      </c>
      <c r="E9" t="s">
        <v>12</v>
      </c>
      <c r="F9" s="1">
        <v>25</v>
      </c>
      <c r="G9" s="2">
        <v>70.900000000000006</v>
      </c>
    </row>
    <row r="10" spans="1:9">
      <c r="B10" s="1" t="s">
        <v>35</v>
      </c>
      <c r="C10" t="s">
        <v>29</v>
      </c>
      <c r="D10" s="1" t="s">
        <v>8</v>
      </c>
      <c r="E10" t="s">
        <v>13</v>
      </c>
      <c r="F10" s="1">
        <v>36</v>
      </c>
      <c r="G10" s="2">
        <v>145</v>
      </c>
    </row>
    <row r="11" spans="1:9">
      <c r="B11" s="1" t="s">
        <v>36</v>
      </c>
      <c r="C11" t="s">
        <v>28</v>
      </c>
      <c r="D11" s="1" t="s">
        <v>8</v>
      </c>
      <c r="E11" t="s">
        <v>13</v>
      </c>
      <c r="F11" s="1">
        <v>21</v>
      </c>
      <c r="G11" s="2">
        <v>259.89999999999998</v>
      </c>
    </row>
    <row r="12" spans="1:9">
      <c r="B12" s="1" t="s">
        <v>37</v>
      </c>
      <c r="C12" t="s">
        <v>6</v>
      </c>
      <c r="D12" s="1" t="s">
        <v>8</v>
      </c>
      <c r="E12" t="s">
        <v>13</v>
      </c>
      <c r="F12" s="1">
        <v>23</v>
      </c>
      <c r="G12" s="2">
        <v>39.9</v>
      </c>
    </row>
    <row r="13" spans="1:9">
      <c r="B13" s="1" t="s">
        <v>38</v>
      </c>
      <c r="C13" t="s">
        <v>23</v>
      </c>
      <c r="D13" s="1" t="s">
        <v>2</v>
      </c>
      <c r="E13" t="s">
        <v>12</v>
      </c>
      <c r="F13" s="1">
        <v>24</v>
      </c>
      <c r="G13" s="2">
        <v>85.9</v>
      </c>
    </row>
    <row r="14" spans="1:9">
      <c r="B14" s="1" t="s">
        <v>39</v>
      </c>
      <c r="C14" t="s">
        <v>23</v>
      </c>
      <c r="D14" s="1" t="s">
        <v>3</v>
      </c>
      <c r="E14" t="s">
        <v>12</v>
      </c>
      <c r="F14" s="1">
        <v>35</v>
      </c>
      <c r="G14" s="2">
        <v>89.9</v>
      </c>
    </row>
    <row r="15" spans="1:9">
      <c r="B15" s="1" t="s">
        <v>40</v>
      </c>
      <c r="C15" t="s">
        <v>23</v>
      </c>
      <c r="D15" s="1" t="s">
        <v>4</v>
      </c>
      <c r="E15" t="s">
        <v>12</v>
      </c>
      <c r="F15" s="1">
        <v>47</v>
      </c>
      <c r="G15" s="2">
        <v>92.9</v>
      </c>
    </row>
    <row r="16" spans="1:9">
      <c r="B16" s="1" t="s">
        <v>41</v>
      </c>
      <c r="C16" t="s">
        <v>26</v>
      </c>
      <c r="D16" s="1" t="s">
        <v>2</v>
      </c>
      <c r="E16" t="s">
        <v>12</v>
      </c>
      <c r="F16" s="1">
        <v>42</v>
      </c>
      <c r="G16" s="2">
        <v>44.9</v>
      </c>
    </row>
    <row r="17" spans="2:7">
      <c r="B17" s="1" t="s">
        <v>42</v>
      </c>
      <c r="C17" t="s">
        <v>26</v>
      </c>
      <c r="D17" s="1" t="s">
        <v>3</v>
      </c>
      <c r="E17" t="s">
        <v>12</v>
      </c>
      <c r="F17" s="1">
        <v>32</v>
      </c>
      <c r="G17" s="2">
        <v>46.9</v>
      </c>
    </row>
    <row r="18" spans="2:7">
      <c r="B18" s="1" t="s">
        <v>43</v>
      </c>
      <c r="C18" t="s">
        <v>26</v>
      </c>
      <c r="D18" s="1" t="s">
        <v>4</v>
      </c>
      <c r="E18" t="s">
        <v>12</v>
      </c>
      <c r="F18" s="1">
        <v>45</v>
      </c>
      <c r="G18" s="2">
        <v>48.9</v>
      </c>
    </row>
    <row r="19" spans="2:7">
      <c r="B19" s="1" t="s">
        <v>44</v>
      </c>
      <c r="C19" t="s">
        <v>18</v>
      </c>
      <c r="D19" s="1" t="s">
        <v>2</v>
      </c>
      <c r="E19" t="s">
        <v>12</v>
      </c>
      <c r="F19" s="1">
        <v>19</v>
      </c>
      <c r="G19" s="2">
        <v>39.9</v>
      </c>
    </row>
    <row r="20" spans="2:7">
      <c r="B20" s="1" t="s">
        <v>45</v>
      </c>
      <c r="C20" t="s">
        <v>18</v>
      </c>
      <c r="D20" s="1" t="s">
        <v>3</v>
      </c>
      <c r="E20" t="s">
        <v>12</v>
      </c>
      <c r="F20" s="1">
        <v>37</v>
      </c>
      <c r="G20" s="2">
        <v>39.9</v>
      </c>
    </row>
    <row r="21" spans="2:7">
      <c r="B21" s="1" t="s">
        <v>46</v>
      </c>
      <c r="C21" t="s">
        <v>18</v>
      </c>
      <c r="D21" s="1" t="s">
        <v>4</v>
      </c>
      <c r="E21" t="s">
        <v>12</v>
      </c>
      <c r="F21" s="1">
        <v>16</v>
      </c>
      <c r="G21" s="2">
        <v>42.5</v>
      </c>
    </row>
    <row r="22" spans="2:7">
      <c r="B22" s="1" t="s">
        <v>47</v>
      </c>
      <c r="C22" t="s">
        <v>9</v>
      </c>
      <c r="D22" s="1" t="s">
        <v>2</v>
      </c>
      <c r="E22" t="s">
        <v>12</v>
      </c>
      <c r="F22" s="1">
        <v>43</v>
      </c>
      <c r="G22" s="2">
        <v>25.9</v>
      </c>
    </row>
    <row r="23" spans="2:7">
      <c r="B23" s="1" t="s">
        <v>48</v>
      </c>
      <c r="C23" t="s">
        <v>17</v>
      </c>
      <c r="D23" s="1" t="s">
        <v>3</v>
      </c>
      <c r="E23" t="s">
        <v>12</v>
      </c>
      <c r="F23" s="1">
        <v>46</v>
      </c>
      <c r="G23" s="2">
        <v>29.9</v>
      </c>
    </row>
    <row r="24" spans="2:7">
      <c r="B24" s="1" t="s">
        <v>49</v>
      </c>
      <c r="C24" t="s">
        <v>17</v>
      </c>
      <c r="D24" s="1" t="s">
        <v>4</v>
      </c>
      <c r="E24" t="s">
        <v>12</v>
      </c>
      <c r="F24" s="1">
        <v>0</v>
      </c>
      <c r="G24" s="2">
        <v>32.9</v>
      </c>
    </row>
    <row r="25" spans="2:7">
      <c r="B25" s="1" t="s">
        <v>50</v>
      </c>
      <c r="C25" t="s">
        <v>7</v>
      </c>
      <c r="D25" s="1" t="s">
        <v>8</v>
      </c>
      <c r="E25" t="s">
        <v>13</v>
      </c>
      <c r="F25" s="1">
        <v>2</v>
      </c>
      <c r="G25" s="2">
        <v>49.9</v>
      </c>
    </row>
    <row r="26" spans="2:7">
      <c r="B26" s="1" t="s">
        <v>51</v>
      </c>
      <c r="C26" t="s">
        <v>22</v>
      </c>
      <c r="D26" s="1" t="s">
        <v>2</v>
      </c>
      <c r="E26" t="s">
        <v>12</v>
      </c>
      <c r="F26" s="1">
        <v>34</v>
      </c>
      <c r="G26" s="2">
        <v>299.89999999999998</v>
      </c>
    </row>
    <row r="27" spans="2:7">
      <c r="B27" s="1" t="s">
        <v>52</v>
      </c>
      <c r="C27" t="s">
        <v>22</v>
      </c>
      <c r="D27" s="1" t="s">
        <v>3</v>
      </c>
      <c r="E27" t="s">
        <v>12</v>
      </c>
      <c r="F27" s="1">
        <v>34</v>
      </c>
      <c r="G27" s="2">
        <v>302.89999999999998</v>
      </c>
    </row>
    <row r="28" spans="2:7">
      <c r="B28" s="1" t="s">
        <v>53</v>
      </c>
      <c r="C28" t="s">
        <v>22</v>
      </c>
      <c r="D28" s="1" t="s">
        <v>4</v>
      </c>
      <c r="E28" t="s">
        <v>12</v>
      </c>
      <c r="F28" s="1">
        <v>35</v>
      </c>
      <c r="G28" s="2">
        <v>300</v>
      </c>
    </row>
    <row r="29" spans="2:7">
      <c r="B29" s="1" t="s">
        <v>54</v>
      </c>
      <c r="C29" t="s">
        <v>21</v>
      </c>
      <c r="D29" s="1" t="s">
        <v>2</v>
      </c>
      <c r="E29" t="s">
        <v>12</v>
      </c>
      <c r="F29" s="1">
        <v>49</v>
      </c>
      <c r="G29" s="2">
        <v>249.9</v>
      </c>
    </row>
    <row r="30" spans="2:7">
      <c r="B30" s="1" t="s">
        <v>55</v>
      </c>
      <c r="C30" t="s">
        <v>21</v>
      </c>
      <c r="D30" s="1" t="s">
        <v>3</v>
      </c>
      <c r="E30" t="s">
        <v>12</v>
      </c>
      <c r="F30" s="1">
        <v>16</v>
      </c>
      <c r="G30" s="2">
        <v>259.89999999999998</v>
      </c>
    </row>
    <row r="31" spans="2:7">
      <c r="B31" s="1" t="s">
        <v>56</v>
      </c>
      <c r="C31" t="s">
        <v>21</v>
      </c>
      <c r="D31" s="1" t="s">
        <v>4</v>
      </c>
      <c r="E31" t="s">
        <v>12</v>
      </c>
      <c r="F31" s="1">
        <v>41</v>
      </c>
      <c r="G31" s="2">
        <v>299.89999999999998</v>
      </c>
    </row>
    <row r="32" spans="2:7">
      <c r="B32" s="1" t="s">
        <v>57</v>
      </c>
      <c r="C32" t="s">
        <v>20</v>
      </c>
      <c r="D32" s="1" t="s">
        <v>8</v>
      </c>
      <c r="E32" t="s">
        <v>13</v>
      </c>
      <c r="F32" s="1">
        <v>32</v>
      </c>
      <c r="G32" s="2">
        <v>349.9</v>
      </c>
    </row>
    <row r="33" spans="2:7">
      <c r="B33" s="1" t="s">
        <v>58</v>
      </c>
      <c r="C33" t="s">
        <v>19</v>
      </c>
      <c r="D33" s="1" t="s">
        <v>8</v>
      </c>
      <c r="E33" t="s">
        <v>13</v>
      </c>
      <c r="F33" s="1">
        <v>45</v>
      </c>
      <c r="G33" s="2">
        <v>120</v>
      </c>
    </row>
    <row r="34" spans="2:7">
      <c r="B34" s="1" t="s">
        <v>59</v>
      </c>
      <c r="C34" t="s">
        <v>27</v>
      </c>
      <c r="D34" s="1">
        <v>36</v>
      </c>
      <c r="E34" t="s">
        <v>14</v>
      </c>
      <c r="F34" s="1">
        <v>37</v>
      </c>
      <c r="G34" s="2">
        <v>249.9</v>
      </c>
    </row>
    <row r="35" spans="2:7">
      <c r="B35" s="1" t="s">
        <v>60</v>
      </c>
      <c r="C35" t="s">
        <v>27</v>
      </c>
      <c r="D35" s="1">
        <v>37</v>
      </c>
      <c r="E35" t="s">
        <v>14</v>
      </c>
      <c r="F35" s="1">
        <v>41</v>
      </c>
      <c r="G35" s="2">
        <v>255</v>
      </c>
    </row>
    <row r="36" spans="2:7">
      <c r="B36" s="1" t="s">
        <v>61</v>
      </c>
      <c r="C36" t="s">
        <v>27</v>
      </c>
      <c r="D36" s="1">
        <v>38</v>
      </c>
      <c r="E36" t="s">
        <v>14</v>
      </c>
      <c r="F36" s="1">
        <v>30</v>
      </c>
      <c r="G36" s="2">
        <v>259.89999999999998</v>
      </c>
    </row>
    <row r="37" spans="2:7">
      <c r="B37" s="1" t="s">
        <v>62</v>
      </c>
      <c r="C37" t="s">
        <v>112</v>
      </c>
      <c r="D37" s="1">
        <v>36</v>
      </c>
      <c r="E37" t="s">
        <v>14</v>
      </c>
      <c r="F37" s="1">
        <v>27</v>
      </c>
      <c r="G37" s="2">
        <v>245</v>
      </c>
    </row>
    <row r="38" spans="2:7">
      <c r="B38" s="1" t="s">
        <v>63</v>
      </c>
      <c r="C38" t="s">
        <v>112</v>
      </c>
      <c r="D38" s="1">
        <v>37</v>
      </c>
      <c r="E38" t="s">
        <v>14</v>
      </c>
      <c r="F38" s="1">
        <v>41</v>
      </c>
      <c r="G38" s="2">
        <v>250</v>
      </c>
    </row>
    <row r="39" spans="2:7">
      <c r="B39" s="1" t="s">
        <v>64</v>
      </c>
      <c r="C39" t="s">
        <v>112</v>
      </c>
      <c r="D39" s="1">
        <v>38</v>
      </c>
      <c r="E39" t="s">
        <v>14</v>
      </c>
      <c r="F39" s="1">
        <v>43</v>
      </c>
      <c r="G39" s="2">
        <v>259.89999999999998</v>
      </c>
    </row>
    <row r="40" spans="2:7">
      <c r="B40" s="1" t="s">
        <v>65</v>
      </c>
      <c r="C40" t="s">
        <v>25</v>
      </c>
      <c r="D40" s="1" t="s">
        <v>2</v>
      </c>
      <c r="E40" t="s">
        <v>12</v>
      </c>
      <c r="F40" s="1">
        <v>43</v>
      </c>
      <c r="G40" s="2">
        <v>89.9</v>
      </c>
    </row>
    <row r="41" spans="2:7">
      <c r="B41" s="1" t="s">
        <v>66</v>
      </c>
      <c r="C41" t="s">
        <v>25</v>
      </c>
      <c r="D41" s="1" t="s">
        <v>3</v>
      </c>
      <c r="E41" t="s">
        <v>12</v>
      </c>
      <c r="F41" s="1">
        <v>18</v>
      </c>
      <c r="G41" s="2">
        <v>91.4</v>
      </c>
    </row>
    <row r="42" spans="2:7">
      <c r="B42" s="1" t="s">
        <v>67</v>
      </c>
      <c r="C42" t="s">
        <v>25</v>
      </c>
      <c r="D42" s="1" t="s">
        <v>4</v>
      </c>
      <c r="E42" t="s">
        <v>12</v>
      </c>
      <c r="F42" s="1">
        <v>45</v>
      </c>
      <c r="G42" s="2">
        <v>93.5</v>
      </c>
    </row>
    <row r="43" spans="2:7">
      <c r="B43" s="1" t="s">
        <v>68</v>
      </c>
      <c r="C43" t="s">
        <v>24</v>
      </c>
      <c r="D43" s="1" t="s">
        <v>2</v>
      </c>
      <c r="E43" t="s">
        <v>12</v>
      </c>
      <c r="F43" s="1">
        <v>34</v>
      </c>
      <c r="G43" s="2">
        <v>140</v>
      </c>
    </row>
    <row r="44" spans="2:7">
      <c r="B44" s="1" t="s">
        <v>69</v>
      </c>
      <c r="C44" t="s">
        <v>24</v>
      </c>
      <c r="D44" s="1" t="s">
        <v>3</v>
      </c>
      <c r="E44" t="s">
        <v>12</v>
      </c>
      <c r="F44" s="1">
        <v>47</v>
      </c>
      <c r="G44" s="2">
        <v>142.9</v>
      </c>
    </row>
    <row r="45" spans="2:7">
      <c r="B45" s="1" t="s">
        <v>70</v>
      </c>
      <c r="C45" t="s">
        <v>24</v>
      </c>
      <c r="D45" s="1" t="s">
        <v>4</v>
      </c>
      <c r="E45" t="s">
        <v>12</v>
      </c>
      <c r="F45" s="1">
        <v>50</v>
      </c>
      <c r="G45" s="2">
        <v>146</v>
      </c>
    </row>
    <row r="46" spans="2:7">
      <c r="B46" s="1" t="s">
        <v>84</v>
      </c>
      <c r="C46" t="s">
        <v>108</v>
      </c>
      <c r="D46" s="1" t="s">
        <v>2</v>
      </c>
      <c r="E46" t="s">
        <v>12</v>
      </c>
      <c r="F46" s="1">
        <v>16</v>
      </c>
      <c r="G46" s="8">
        <v>70</v>
      </c>
    </row>
    <row r="47" spans="2:7">
      <c r="B47" s="1" t="s">
        <v>85</v>
      </c>
      <c r="C47" t="s">
        <v>108</v>
      </c>
      <c r="D47" s="1" t="s">
        <v>3</v>
      </c>
      <c r="E47" t="s">
        <v>12</v>
      </c>
      <c r="F47" s="1">
        <v>21</v>
      </c>
      <c r="G47" s="8">
        <v>54.9</v>
      </c>
    </row>
    <row r="48" spans="2:7">
      <c r="B48" s="1" t="s">
        <v>86</v>
      </c>
      <c r="C48" t="s">
        <v>108</v>
      </c>
      <c r="D48" s="1" t="s">
        <v>4</v>
      </c>
      <c r="E48" t="s">
        <v>12</v>
      </c>
      <c r="F48" s="1">
        <v>43</v>
      </c>
      <c r="G48" s="8">
        <v>54.9</v>
      </c>
    </row>
    <row r="49" spans="2:7">
      <c r="B49" s="1" t="s">
        <v>87</v>
      </c>
      <c r="C49" t="s">
        <v>88</v>
      </c>
      <c r="D49" s="1" t="s">
        <v>2</v>
      </c>
      <c r="E49" t="s">
        <v>12</v>
      </c>
      <c r="F49" s="1">
        <v>43</v>
      </c>
      <c r="G49" s="8">
        <v>72.5</v>
      </c>
    </row>
    <row r="50" spans="2:7">
      <c r="B50" s="1" t="s">
        <v>89</v>
      </c>
      <c r="C50" t="s">
        <v>88</v>
      </c>
      <c r="D50" s="1" t="s">
        <v>3</v>
      </c>
      <c r="E50" t="s">
        <v>12</v>
      </c>
      <c r="F50" s="1">
        <v>41</v>
      </c>
      <c r="G50" s="8">
        <v>72.5</v>
      </c>
    </row>
    <row r="51" spans="2:7">
      <c r="B51" s="1" t="s">
        <v>90</v>
      </c>
      <c r="C51" t="s">
        <v>88</v>
      </c>
      <c r="D51" s="1" t="s">
        <v>4</v>
      </c>
      <c r="E51" t="s">
        <v>12</v>
      </c>
      <c r="F51" s="1">
        <v>49</v>
      </c>
      <c r="G51" s="8">
        <v>72.5</v>
      </c>
    </row>
    <row r="52" spans="2:7">
      <c r="B52" s="1" t="s">
        <v>91</v>
      </c>
      <c r="C52" t="s">
        <v>92</v>
      </c>
      <c r="D52" s="1" t="s">
        <v>2</v>
      </c>
      <c r="E52" t="s">
        <v>12</v>
      </c>
      <c r="F52" s="1">
        <v>15</v>
      </c>
      <c r="G52" s="8">
        <v>289.89999999999998</v>
      </c>
    </row>
    <row r="53" spans="2:7">
      <c r="B53" s="1" t="s">
        <v>93</v>
      </c>
      <c r="C53" t="s">
        <v>92</v>
      </c>
      <c r="D53" s="1" t="s">
        <v>3</v>
      </c>
      <c r="E53" t="s">
        <v>12</v>
      </c>
      <c r="F53" s="1">
        <v>10</v>
      </c>
      <c r="G53" s="8">
        <v>289.89999999999998</v>
      </c>
    </row>
    <row r="54" spans="2:7">
      <c r="B54" s="1" t="s">
        <v>94</v>
      </c>
      <c r="C54" t="s">
        <v>92</v>
      </c>
      <c r="D54" s="1" t="s">
        <v>4</v>
      </c>
      <c r="E54" t="s">
        <v>12</v>
      </c>
      <c r="F54" s="1">
        <v>21</v>
      </c>
      <c r="G54" s="8">
        <v>289.89999999999998</v>
      </c>
    </row>
    <row r="55" spans="2:7">
      <c r="B55" s="1" t="s">
        <v>95</v>
      </c>
      <c r="C55" t="s">
        <v>96</v>
      </c>
      <c r="D55" s="1" t="s">
        <v>2</v>
      </c>
      <c r="E55" t="s">
        <v>12</v>
      </c>
      <c r="F55" s="1">
        <v>8</v>
      </c>
      <c r="G55" s="8">
        <v>32.9</v>
      </c>
    </row>
    <row r="56" spans="2:7">
      <c r="B56" s="1" t="s">
        <v>97</v>
      </c>
      <c r="C56" t="s">
        <v>96</v>
      </c>
      <c r="D56" s="1" t="s">
        <v>3</v>
      </c>
      <c r="E56" t="s">
        <v>12</v>
      </c>
      <c r="F56" s="1">
        <v>42</v>
      </c>
      <c r="G56" s="8">
        <v>32.9</v>
      </c>
    </row>
    <row r="57" spans="2:7">
      <c r="B57" s="1" t="s">
        <v>98</v>
      </c>
      <c r="C57" t="s">
        <v>96</v>
      </c>
      <c r="D57" s="1" t="s">
        <v>4</v>
      </c>
      <c r="E57" t="s">
        <v>12</v>
      </c>
      <c r="F57" s="1">
        <v>48</v>
      </c>
      <c r="G57" s="8">
        <v>32.9</v>
      </c>
    </row>
    <row r="58" spans="2:7">
      <c r="B58" s="1" t="s">
        <v>99</v>
      </c>
      <c r="C58" t="s">
        <v>100</v>
      </c>
      <c r="D58" s="1" t="s">
        <v>2</v>
      </c>
      <c r="E58" t="s">
        <v>12</v>
      </c>
      <c r="F58" s="1">
        <v>35</v>
      </c>
      <c r="G58" s="8">
        <v>49.9</v>
      </c>
    </row>
    <row r="59" spans="2:7">
      <c r="B59" s="1" t="s">
        <v>101</v>
      </c>
      <c r="C59" t="s">
        <v>100</v>
      </c>
      <c r="D59" s="1" t="s">
        <v>3</v>
      </c>
      <c r="E59" t="s">
        <v>12</v>
      </c>
      <c r="F59" s="1">
        <v>40</v>
      </c>
      <c r="G59" s="8">
        <v>49.9</v>
      </c>
    </row>
    <row r="60" spans="2:7">
      <c r="B60" s="1" t="s">
        <v>102</v>
      </c>
      <c r="C60" t="s">
        <v>100</v>
      </c>
      <c r="D60" s="1" t="s">
        <v>4</v>
      </c>
      <c r="E60" t="s">
        <v>12</v>
      </c>
      <c r="F60" s="1">
        <v>18</v>
      </c>
      <c r="G60" s="8">
        <v>49.9</v>
      </c>
    </row>
    <row r="61" spans="2:7">
      <c r="B61" s="1" t="s">
        <v>103</v>
      </c>
      <c r="C61" t="s">
        <v>105</v>
      </c>
      <c r="D61" s="1">
        <v>35</v>
      </c>
      <c r="E61" t="s">
        <v>14</v>
      </c>
      <c r="F61" s="1">
        <v>48</v>
      </c>
      <c r="G61" s="8">
        <v>89.9</v>
      </c>
    </row>
    <row r="62" spans="2:7">
      <c r="B62" s="1" t="s">
        <v>104</v>
      </c>
      <c r="C62" t="s">
        <v>105</v>
      </c>
      <c r="D62" s="1">
        <v>36</v>
      </c>
      <c r="E62" t="s">
        <v>14</v>
      </c>
      <c r="F62" s="1">
        <v>38</v>
      </c>
      <c r="G62" s="2">
        <v>89.9</v>
      </c>
    </row>
    <row r="63" spans="2:7">
      <c r="B63" s="1" t="s">
        <v>106</v>
      </c>
      <c r="C63" t="s">
        <v>105</v>
      </c>
      <c r="D63" s="1">
        <v>37</v>
      </c>
      <c r="E63" t="s">
        <v>14</v>
      </c>
      <c r="F63" s="1">
        <v>45</v>
      </c>
      <c r="G63" s="2">
        <v>89.9</v>
      </c>
    </row>
    <row r="64" spans="2:7">
      <c r="B64" s="1" t="s">
        <v>107</v>
      </c>
      <c r="C64" t="s">
        <v>109</v>
      </c>
      <c r="D64" s="1" t="s">
        <v>2</v>
      </c>
      <c r="E64" t="s">
        <v>12</v>
      </c>
      <c r="F64" s="1">
        <v>40</v>
      </c>
      <c r="G64" s="2">
        <v>180</v>
      </c>
    </row>
    <row r="65" spans="2:7">
      <c r="B65" s="1" t="s">
        <v>110</v>
      </c>
      <c r="C65" t="s">
        <v>109</v>
      </c>
      <c r="D65" s="1" t="s">
        <v>3</v>
      </c>
      <c r="E65" t="s">
        <v>12</v>
      </c>
      <c r="F65" s="1">
        <v>35</v>
      </c>
      <c r="G65" s="2">
        <v>180</v>
      </c>
    </row>
    <row r="66" spans="2:7">
      <c r="B66" s="1" t="s">
        <v>111</v>
      </c>
      <c r="C66" t="s">
        <v>109</v>
      </c>
      <c r="D66" s="1" t="s">
        <v>4</v>
      </c>
      <c r="E66" t="s">
        <v>12</v>
      </c>
      <c r="F66" s="1">
        <v>35</v>
      </c>
      <c r="G66" s="2">
        <v>180</v>
      </c>
    </row>
  </sheetData>
  <phoneticPr fontId="11" type="noConversion"/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FE2519-AAFA-4935-8CF0-8C9654B783DC}">
  <sheetPr codeName="Planilha15"/>
  <dimension ref="A1:F64"/>
  <sheetViews>
    <sheetView tabSelected="1" workbookViewId="0">
      <selection activeCell="F10" sqref="F10"/>
    </sheetView>
  </sheetViews>
  <sheetFormatPr defaultRowHeight="14.4"/>
  <cols>
    <col min="3" max="3" width="14.21875" customWidth="1"/>
    <col min="4" max="4" width="12.77734375" customWidth="1"/>
    <col min="5" max="5" width="13.21875" customWidth="1"/>
    <col min="6" max="6" width="19.33203125" customWidth="1"/>
  </cols>
  <sheetData>
    <row r="1" spans="1:6" ht="18">
      <c r="A1" s="114" t="s">
        <v>30</v>
      </c>
      <c r="B1" s="115" t="s">
        <v>0</v>
      </c>
      <c r="C1" s="115" t="s">
        <v>1</v>
      </c>
      <c r="D1" s="115" t="s">
        <v>10</v>
      </c>
      <c r="E1" s="115" t="s">
        <v>76</v>
      </c>
      <c r="F1" s="116" t="s">
        <v>11</v>
      </c>
    </row>
    <row r="2" spans="1:6">
      <c r="A2" s="117"/>
      <c r="B2" s="113"/>
      <c r="C2" s="118" t="s">
        <v>3</v>
      </c>
      <c r="D2" t="s">
        <v>12</v>
      </c>
      <c r="E2" s="118"/>
      <c r="F2" s="119"/>
    </row>
    <row r="4" spans="1:6" ht="18">
      <c r="A4" s="114" t="s">
        <v>30</v>
      </c>
      <c r="B4" s="115" t="s">
        <v>0</v>
      </c>
      <c r="C4" s="115" t="s">
        <v>1</v>
      </c>
      <c r="D4" s="115" t="s">
        <v>10</v>
      </c>
      <c r="E4" s="115" t="s">
        <v>76</v>
      </c>
      <c r="F4" s="116" t="s">
        <v>11</v>
      </c>
    </row>
    <row r="5" spans="1:6">
      <c r="A5" s="1" t="s">
        <v>33</v>
      </c>
      <c r="B5" t="s">
        <v>5</v>
      </c>
      <c r="C5" s="1" t="s">
        <v>3</v>
      </c>
      <c r="D5" t="s">
        <v>12</v>
      </c>
      <c r="E5" s="1">
        <v>17</v>
      </c>
      <c r="F5" s="2">
        <v>69.900000000000006</v>
      </c>
    </row>
    <row r="6" spans="1:6">
      <c r="A6" s="1" t="s">
        <v>39</v>
      </c>
      <c r="B6" t="s">
        <v>23</v>
      </c>
      <c r="C6" s="1" t="s">
        <v>3</v>
      </c>
      <c r="D6" t="s">
        <v>12</v>
      </c>
      <c r="E6" s="1">
        <v>35</v>
      </c>
      <c r="F6" s="2">
        <v>89.9</v>
      </c>
    </row>
    <row r="7" spans="1:6">
      <c r="A7" s="1" t="s">
        <v>42</v>
      </c>
      <c r="B7" t="s">
        <v>26</v>
      </c>
      <c r="C7" s="1" t="s">
        <v>3</v>
      </c>
      <c r="D7" t="s">
        <v>12</v>
      </c>
      <c r="E7" s="1">
        <v>32</v>
      </c>
      <c r="F7" s="2">
        <v>46.9</v>
      </c>
    </row>
    <row r="8" spans="1:6">
      <c r="A8" s="1" t="s">
        <v>45</v>
      </c>
      <c r="B8" t="s">
        <v>18</v>
      </c>
      <c r="C8" s="1" t="s">
        <v>3</v>
      </c>
      <c r="D8" t="s">
        <v>12</v>
      </c>
      <c r="E8" s="1">
        <v>37</v>
      </c>
      <c r="F8" s="2">
        <v>39.9</v>
      </c>
    </row>
    <row r="9" spans="1:6">
      <c r="A9" s="1" t="s">
        <v>48</v>
      </c>
      <c r="B9" t="s">
        <v>17</v>
      </c>
      <c r="C9" s="1" t="s">
        <v>3</v>
      </c>
      <c r="D9" t="s">
        <v>12</v>
      </c>
      <c r="E9" s="1">
        <v>46</v>
      </c>
      <c r="F9" s="2">
        <v>29.9</v>
      </c>
    </row>
    <row r="10" spans="1:6">
      <c r="A10" s="1" t="s">
        <v>52</v>
      </c>
      <c r="B10" t="s">
        <v>22</v>
      </c>
      <c r="C10" s="1" t="s">
        <v>3</v>
      </c>
      <c r="D10" t="s">
        <v>12</v>
      </c>
      <c r="E10" s="1">
        <v>34</v>
      </c>
      <c r="F10" s="2">
        <v>302.89999999999998</v>
      </c>
    </row>
    <row r="11" spans="1:6">
      <c r="A11" s="1" t="s">
        <v>55</v>
      </c>
      <c r="B11" t="s">
        <v>21</v>
      </c>
      <c r="C11" s="1" t="s">
        <v>3</v>
      </c>
      <c r="D11" t="s">
        <v>12</v>
      </c>
      <c r="E11" s="1">
        <v>16</v>
      </c>
      <c r="F11" s="2">
        <v>259.89999999999998</v>
      </c>
    </row>
    <row r="12" spans="1:6">
      <c r="A12" s="1" t="s">
        <v>66</v>
      </c>
      <c r="B12" t="s">
        <v>25</v>
      </c>
      <c r="C12" s="1" t="s">
        <v>3</v>
      </c>
      <c r="D12" t="s">
        <v>12</v>
      </c>
      <c r="E12" s="1">
        <v>18</v>
      </c>
      <c r="F12" s="2">
        <v>91.4</v>
      </c>
    </row>
    <row r="13" spans="1:6">
      <c r="A13" s="1" t="s">
        <v>69</v>
      </c>
      <c r="B13" t="s">
        <v>24</v>
      </c>
      <c r="C13" s="1" t="s">
        <v>3</v>
      </c>
      <c r="D13" t="s">
        <v>12</v>
      </c>
      <c r="E13" s="1">
        <v>47</v>
      </c>
      <c r="F13" s="2">
        <v>142.9</v>
      </c>
    </row>
    <row r="14" spans="1:6">
      <c r="A14" s="1" t="s">
        <v>85</v>
      </c>
      <c r="B14" t="s">
        <v>108</v>
      </c>
      <c r="C14" s="1" t="s">
        <v>3</v>
      </c>
      <c r="D14" t="s">
        <v>12</v>
      </c>
      <c r="E14" s="1">
        <v>21</v>
      </c>
      <c r="F14" s="8">
        <v>54.9</v>
      </c>
    </row>
    <row r="15" spans="1:6">
      <c r="A15" s="1" t="s">
        <v>89</v>
      </c>
      <c r="B15" t="s">
        <v>88</v>
      </c>
      <c r="C15" s="1" t="s">
        <v>3</v>
      </c>
      <c r="D15" t="s">
        <v>12</v>
      </c>
      <c r="E15" s="1">
        <v>41</v>
      </c>
      <c r="F15" s="8">
        <v>72.5</v>
      </c>
    </row>
    <row r="16" spans="1:6">
      <c r="A16" s="1" t="s">
        <v>93</v>
      </c>
      <c r="B16" t="s">
        <v>92</v>
      </c>
      <c r="C16" s="1" t="s">
        <v>3</v>
      </c>
      <c r="D16" t="s">
        <v>12</v>
      </c>
      <c r="E16" s="1">
        <v>10</v>
      </c>
      <c r="F16" s="8">
        <v>289.89999999999998</v>
      </c>
    </row>
    <row r="17" spans="1:6">
      <c r="A17" s="1" t="s">
        <v>97</v>
      </c>
      <c r="B17" t="s">
        <v>96</v>
      </c>
      <c r="C17" s="1" t="s">
        <v>3</v>
      </c>
      <c r="D17" t="s">
        <v>12</v>
      </c>
      <c r="E17" s="1">
        <v>42</v>
      </c>
      <c r="F17" s="8">
        <v>32.9</v>
      </c>
    </row>
    <row r="18" spans="1:6">
      <c r="A18" s="1" t="s">
        <v>101</v>
      </c>
      <c r="B18" t="s">
        <v>100</v>
      </c>
      <c r="C18" s="1" t="s">
        <v>3</v>
      </c>
      <c r="D18" t="s">
        <v>12</v>
      </c>
      <c r="E18" s="1">
        <v>40</v>
      </c>
      <c r="F18" s="8">
        <v>49.9</v>
      </c>
    </row>
    <row r="19" spans="1:6">
      <c r="A19" s="1" t="s">
        <v>110</v>
      </c>
      <c r="B19" t="s">
        <v>109</v>
      </c>
      <c r="C19" s="1" t="s">
        <v>3</v>
      </c>
      <c r="D19" t="s">
        <v>12</v>
      </c>
      <c r="E19" s="1">
        <v>35</v>
      </c>
      <c r="F19" s="2">
        <v>180</v>
      </c>
    </row>
    <row r="20" spans="1:6">
      <c r="B20" s="1"/>
      <c r="D20" s="1"/>
      <c r="E20" s="2"/>
    </row>
    <row r="21" spans="1:6">
      <c r="B21" s="1"/>
      <c r="D21" s="1"/>
      <c r="E21" s="2"/>
    </row>
    <row r="22" spans="1:6">
      <c r="B22" s="1"/>
      <c r="D22" s="1"/>
      <c r="E22" s="2"/>
    </row>
    <row r="23" spans="1:6">
      <c r="B23" s="1"/>
      <c r="D23" s="1"/>
      <c r="E23" s="2"/>
    </row>
    <row r="24" spans="1:6">
      <c r="B24" s="1"/>
      <c r="D24" s="1"/>
      <c r="E24" s="2"/>
    </row>
    <row r="25" spans="1:6">
      <c r="B25" s="1"/>
      <c r="D25" s="1"/>
      <c r="E25" s="2"/>
    </row>
    <row r="26" spans="1:6">
      <c r="B26" s="1"/>
      <c r="D26" s="1"/>
      <c r="E26" s="2"/>
    </row>
    <row r="27" spans="1:6">
      <c r="B27" s="1"/>
      <c r="D27" s="1"/>
      <c r="E27" s="2"/>
    </row>
    <row r="28" spans="1:6">
      <c r="B28" s="1"/>
      <c r="D28" s="1"/>
      <c r="E28" s="2"/>
    </row>
    <row r="29" spans="1:6">
      <c r="B29" s="1"/>
      <c r="D29" s="1"/>
      <c r="E29" s="2"/>
    </row>
    <row r="30" spans="1:6">
      <c r="B30" s="1"/>
      <c r="D30" s="1"/>
      <c r="E30" s="2"/>
    </row>
    <row r="31" spans="1:6">
      <c r="B31" s="1"/>
      <c r="D31" s="1"/>
      <c r="E31" s="2"/>
    </row>
    <row r="32" spans="1:6">
      <c r="B32" s="1"/>
      <c r="D32" s="1"/>
      <c r="E32" s="8"/>
    </row>
    <row r="33" spans="2:5">
      <c r="B33" s="1"/>
      <c r="D33" s="1"/>
      <c r="E33" s="8"/>
    </row>
    <row r="34" spans="2:5">
      <c r="B34" s="1"/>
      <c r="D34" s="1"/>
      <c r="E34" s="8"/>
    </row>
    <row r="35" spans="2:5">
      <c r="B35" s="1"/>
      <c r="D35" s="1"/>
      <c r="E35" s="8"/>
    </row>
    <row r="36" spans="2:5">
      <c r="B36" s="1"/>
      <c r="D36" s="1"/>
      <c r="E36" s="8"/>
    </row>
    <row r="37" spans="2:5">
      <c r="B37" s="1"/>
      <c r="D37" s="1"/>
      <c r="E37" s="8"/>
    </row>
    <row r="38" spans="2:5">
      <c r="B38" s="1"/>
      <c r="D38" s="1"/>
      <c r="E38" s="8"/>
    </row>
    <row r="39" spans="2:5">
      <c r="B39" s="1"/>
      <c r="D39" s="1"/>
      <c r="E39" s="8"/>
    </row>
    <row r="40" spans="2:5">
      <c r="B40" s="1"/>
      <c r="D40" s="1"/>
      <c r="E40" s="8"/>
    </row>
    <row r="41" spans="2:5">
      <c r="B41" s="1"/>
      <c r="D41" s="1"/>
      <c r="E41" s="8"/>
    </row>
    <row r="42" spans="2:5">
      <c r="B42" s="1"/>
      <c r="D42" s="1"/>
      <c r="E42" s="8"/>
    </row>
    <row r="43" spans="2:5">
      <c r="B43" s="1"/>
      <c r="D43" s="1"/>
      <c r="E43" s="8"/>
    </row>
    <row r="44" spans="2:5">
      <c r="B44" s="1"/>
      <c r="D44" s="1"/>
      <c r="E44" s="8"/>
    </row>
    <row r="45" spans="2:5">
      <c r="B45" s="1"/>
      <c r="D45" s="1"/>
      <c r="E45" s="8"/>
    </row>
    <row r="46" spans="2:5">
      <c r="B46" s="1"/>
      <c r="D46" s="1"/>
      <c r="E46" s="8"/>
    </row>
    <row r="47" spans="2:5">
      <c r="B47" s="1"/>
      <c r="D47" s="1"/>
      <c r="E47" s="2"/>
    </row>
    <row r="48" spans="2:5">
      <c r="B48" s="1"/>
      <c r="D48" s="1"/>
      <c r="E48" s="2"/>
    </row>
    <row r="49" spans="2:5">
      <c r="B49" s="1"/>
      <c r="D49" s="1"/>
      <c r="E49" s="2"/>
    </row>
    <row r="50" spans="2:5">
      <c r="B50" s="1"/>
      <c r="D50" s="1"/>
      <c r="E50" s="8"/>
    </row>
    <row r="51" spans="2:5">
      <c r="B51" s="1"/>
      <c r="D51" s="1"/>
      <c r="E51" s="8"/>
    </row>
    <row r="52" spans="2:5">
      <c r="B52" s="1"/>
      <c r="D52" s="1"/>
      <c r="E52" s="8"/>
    </row>
    <row r="53" spans="2:5">
      <c r="B53" s="1"/>
      <c r="D53" s="1"/>
      <c r="E53" s="8"/>
    </row>
    <row r="54" spans="2:5">
      <c r="B54" s="1"/>
      <c r="D54" s="1"/>
      <c r="E54" s="8"/>
    </row>
    <row r="55" spans="2:5">
      <c r="B55" s="1"/>
      <c r="D55" s="1"/>
      <c r="E55" s="8"/>
    </row>
    <row r="56" spans="2:5">
      <c r="B56" s="1"/>
      <c r="D56" s="1"/>
      <c r="E56" s="8"/>
    </row>
    <row r="57" spans="2:5">
      <c r="B57" s="1"/>
      <c r="D57" s="1"/>
      <c r="E57" s="8"/>
    </row>
    <row r="58" spans="2:5">
      <c r="B58" s="1"/>
      <c r="D58" s="1"/>
      <c r="E58" s="8"/>
    </row>
    <row r="59" spans="2:5">
      <c r="B59" s="1"/>
      <c r="D59" s="1"/>
      <c r="E59" s="8"/>
    </row>
    <row r="60" spans="2:5">
      <c r="B60" s="1"/>
      <c r="D60" s="1"/>
      <c r="E60" s="2"/>
    </row>
    <row r="61" spans="2:5">
      <c r="B61" s="1"/>
      <c r="D61" s="1"/>
      <c r="E61" s="2"/>
    </row>
    <row r="62" spans="2:5">
      <c r="B62" s="1"/>
      <c r="D62" s="1"/>
      <c r="E62" s="2"/>
    </row>
    <row r="63" spans="2:5">
      <c r="B63" s="1"/>
      <c r="D63" s="1"/>
      <c r="E63" s="2"/>
    </row>
    <row r="64" spans="2:5">
      <c r="B64" s="1"/>
      <c r="D64" s="1"/>
      <c r="E64" s="2"/>
    </row>
  </sheetData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3315" r:id="rId3" name="Button 3">
              <controlPr defaultSize="0" print="0" autoFill="0" autoPict="0" macro="[0]!Filtro_Avancado_Automatizado">
                <anchor moveWithCells="1" sizeWithCells="1">
                  <from>
                    <xdr:col>6</xdr:col>
                    <xdr:colOff>114300</xdr:colOff>
                    <xdr:row>3</xdr:row>
                    <xdr:rowOff>15240</xdr:rowOff>
                  </from>
                  <to>
                    <xdr:col>7</xdr:col>
                    <xdr:colOff>457200</xdr:colOff>
                    <xdr:row>4</xdr:row>
                    <xdr:rowOff>137160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7A12F0-043D-41BD-A1DD-14D6C91701E7}">
  <sheetPr codeName="Planilha3"/>
  <dimension ref="A3:B9"/>
  <sheetViews>
    <sheetView topLeftCell="B10" workbookViewId="0">
      <selection activeCell="B3" sqref="B3:B9"/>
    </sheetView>
  </sheetViews>
  <sheetFormatPr defaultRowHeight="14.4"/>
  <cols>
    <col min="1" max="1" width="17.21875" bestFit="1" customWidth="1"/>
    <col min="2" max="2" width="14.44140625" bestFit="1" customWidth="1"/>
  </cols>
  <sheetData>
    <row r="3" spans="1:2">
      <c r="A3" s="63" t="s">
        <v>161</v>
      </c>
      <c r="B3" s="2" t="s">
        <v>167</v>
      </c>
    </row>
    <row r="4" spans="1:2">
      <c r="A4" s="64" t="s">
        <v>71</v>
      </c>
      <c r="B4" s="2">
        <v>3259.7000000000003</v>
      </c>
    </row>
    <row r="5" spans="1:2">
      <c r="A5" s="64" t="s">
        <v>120</v>
      </c>
      <c r="B5" s="2">
        <v>6552.6</v>
      </c>
    </row>
    <row r="6" spans="1:2">
      <c r="A6" s="64" t="s">
        <v>119</v>
      </c>
      <c r="B6" s="2">
        <v>6811.2</v>
      </c>
    </row>
    <row r="7" spans="1:2">
      <c r="A7" s="64" t="s">
        <v>74</v>
      </c>
      <c r="B7" s="2">
        <v>8079.7</v>
      </c>
    </row>
    <row r="8" spans="1:2">
      <c r="A8" s="64" t="s">
        <v>72</v>
      </c>
      <c r="B8" s="2">
        <v>8601.5999999999985</v>
      </c>
    </row>
    <row r="9" spans="1:2">
      <c r="A9" s="64" t="s">
        <v>162</v>
      </c>
      <c r="B9" s="2">
        <v>33304.799999999988</v>
      </c>
    </row>
  </sheetData>
  <pageMargins left="0.511811024" right="0.511811024" top="0.78740157499999996" bottom="0.78740157499999996" header="0.31496062000000002" footer="0.3149606200000000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9DDB36B-A116-48A3-A416-7A80B429A8F5}">
  <sheetPr codeName="Planilha4"/>
  <dimension ref="A1:E9"/>
  <sheetViews>
    <sheetView workbookViewId="0">
      <pane ySplit="1" topLeftCell="A2" activePane="bottomLeft" state="frozen"/>
      <selection pane="bottomLeft" activeCell="C6" sqref="C6"/>
    </sheetView>
  </sheetViews>
  <sheetFormatPr defaultRowHeight="14.4"/>
  <cols>
    <col min="1" max="1" width="14.6640625" bestFit="1" customWidth="1"/>
    <col min="2" max="2" width="27.5546875" customWidth="1"/>
    <col min="3" max="3" width="25.6640625" customWidth="1"/>
    <col min="4" max="4" width="22.109375" customWidth="1"/>
  </cols>
  <sheetData>
    <row r="1" spans="1:5" s="13" customFormat="1" ht="40.200000000000003" customHeight="1">
      <c r="A1" s="16"/>
      <c r="B1" s="75" t="s">
        <v>83</v>
      </c>
      <c r="C1" s="75"/>
      <c r="D1" s="18"/>
      <c r="E1" s="18"/>
    </row>
    <row r="2" spans="1:5" s="14" customFormat="1" ht="4.5" customHeight="1">
      <c r="A2" s="17"/>
      <c r="B2" s="17"/>
    </row>
    <row r="3" spans="1:5" ht="4.5" customHeight="1" thickBot="1">
      <c r="A3" s="15"/>
      <c r="B3" s="15"/>
    </row>
    <row r="4" spans="1:5" ht="21.6">
      <c r="A4" s="25" t="s">
        <v>30</v>
      </c>
      <c r="B4" s="31" t="s">
        <v>73</v>
      </c>
      <c r="C4" s="31" t="s">
        <v>133</v>
      </c>
      <c r="D4" s="26" t="s">
        <v>134</v>
      </c>
    </row>
    <row r="5" spans="1:5" ht="22.5" customHeight="1">
      <c r="A5" s="37" t="s">
        <v>114</v>
      </c>
      <c r="B5" s="30" t="s">
        <v>72</v>
      </c>
      <c r="C5" s="30" t="s">
        <v>135</v>
      </c>
      <c r="D5" s="40">
        <v>0.2</v>
      </c>
    </row>
    <row r="6" spans="1:5" ht="22.5" customHeight="1">
      <c r="A6" s="37" t="s">
        <v>115</v>
      </c>
      <c r="B6" s="30" t="s">
        <v>74</v>
      </c>
      <c r="C6" s="30" t="s">
        <v>136</v>
      </c>
      <c r="D6" s="40">
        <v>0.15</v>
      </c>
    </row>
    <row r="7" spans="1:5" ht="22.5" customHeight="1">
      <c r="A7" s="37" t="s">
        <v>116</v>
      </c>
      <c r="B7" s="30" t="s">
        <v>71</v>
      </c>
      <c r="C7" s="30" t="s">
        <v>137</v>
      </c>
      <c r="D7" s="40">
        <v>0.1</v>
      </c>
    </row>
    <row r="8" spans="1:5" ht="22.5" customHeight="1">
      <c r="A8" s="37" t="s">
        <v>117</v>
      </c>
      <c r="B8" s="30" t="s">
        <v>119</v>
      </c>
      <c r="C8" s="30" t="s">
        <v>138</v>
      </c>
      <c r="D8" s="40">
        <v>0.2</v>
      </c>
    </row>
    <row r="9" spans="1:5" ht="22.5" customHeight="1" thickBot="1">
      <c r="A9" s="38" t="s">
        <v>118</v>
      </c>
      <c r="B9" s="39" t="s">
        <v>120</v>
      </c>
      <c r="C9" s="39" t="s">
        <v>139</v>
      </c>
      <c r="D9" s="41">
        <v>0.15</v>
      </c>
    </row>
  </sheetData>
  <mergeCells count="1">
    <mergeCell ref="B1:C1"/>
  </mergeCells>
  <pageMargins left="0.511811024" right="0.511811024" top="0.78740157499999996" bottom="0.78740157499999996" header="0.31496062000000002" footer="0.31496062000000002"/>
  <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F34D44-0E29-4A7F-B47B-66AF094D5F9D}">
  <sheetPr codeName="Planilha5"/>
  <dimension ref="A1:N86"/>
  <sheetViews>
    <sheetView topLeftCell="B1" zoomScaleNormal="100" workbookViewId="0">
      <pane ySplit="1" topLeftCell="A2" activePane="bottomLeft" state="frozen"/>
      <selection activeCell="B1" sqref="B1"/>
      <selection pane="bottomLeft" activeCell="E8" sqref="E8"/>
    </sheetView>
  </sheetViews>
  <sheetFormatPr defaultRowHeight="14.4"/>
  <cols>
    <col min="1" max="1" width="8.88671875" style="1" hidden="1" customWidth="1"/>
    <col min="2" max="2" width="8.88671875" style="1" customWidth="1"/>
    <col min="3" max="3" width="11.5546875" style="1" bestFit="1" customWidth="1"/>
    <col min="4" max="4" width="11.5546875" style="1" customWidth="1"/>
    <col min="5" max="5" width="16.6640625" style="1" customWidth="1"/>
    <col min="6" max="6" width="10.109375" bestFit="1" customWidth="1"/>
    <col min="7" max="7" width="18.6640625" customWidth="1"/>
    <col min="8" max="8" width="13.109375" bestFit="1" customWidth="1"/>
    <col min="9" max="10" width="16" customWidth="1"/>
    <col min="11" max="12" width="17" customWidth="1"/>
    <col min="13" max="13" width="20.33203125" customWidth="1"/>
    <col min="14" max="14" width="17" bestFit="1" customWidth="1"/>
  </cols>
  <sheetData>
    <row r="1" spans="1:14" s="13" customFormat="1" ht="40.200000000000003" customHeight="1">
      <c r="A1" s="16"/>
      <c r="C1" s="20" t="s">
        <v>122</v>
      </c>
      <c r="D1" s="18"/>
      <c r="E1" s="18"/>
      <c r="F1" s="18"/>
      <c r="G1" s="18"/>
      <c r="H1" s="18"/>
      <c r="I1" s="18"/>
      <c r="J1" s="18"/>
      <c r="K1" s="18"/>
      <c r="L1" s="18"/>
      <c r="M1" s="18"/>
      <c r="N1" s="18"/>
    </row>
    <row r="2" spans="1:14" s="14" customFormat="1" ht="4.5" customHeight="1">
      <c r="A2" s="17"/>
      <c r="B2" s="17"/>
      <c r="C2" s="17"/>
      <c r="D2" s="17"/>
      <c r="E2" s="17"/>
      <c r="F2" s="17"/>
    </row>
    <row r="3" spans="1:14" ht="4.5" customHeight="1">
      <c r="A3" s="15"/>
      <c r="B3" s="15"/>
      <c r="C3" s="15"/>
      <c r="D3" s="15"/>
      <c r="E3" s="15"/>
      <c r="F3" s="15"/>
    </row>
    <row r="4" spans="1:14" s="60" customFormat="1" ht="36">
      <c r="A4" s="57" t="s">
        <v>113</v>
      </c>
      <c r="B4" s="58" t="s">
        <v>31</v>
      </c>
      <c r="C4" s="58" t="s">
        <v>75</v>
      </c>
      <c r="D4" s="58" t="s">
        <v>30</v>
      </c>
      <c r="E4" s="58" t="s">
        <v>10</v>
      </c>
      <c r="F4" s="58" t="s">
        <v>15</v>
      </c>
      <c r="G4" s="58" t="s">
        <v>11</v>
      </c>
      <c r="H4" s="58" t="s">
        <v>156</v>
      </c>
      <c r="I4" s="61" t="s">
        <v>157</v>
      </c>
      <c r="J4" s="61" t="s">
        <v>158</v>
      </c>
      <c r="K4" s="61" t="s">
        <v>159</v>
      </c>
      <c r="L4" s="58" t="s">
        <v>160</v>
      </c>
      <c r="M4" s="59" t="s">
        <v>16</v>
      </c>
      <c r="N4" s="58" t="s">
        <v>73</v>
      </c>
    </row>
    <row r="5" spans="1:14">
      <c r="A5" s="4">
        <f>MONTH(TB_Vendas[[#This Row],[Data]])</f>
        <v>1</v>
      </c>
      <c r="B5" s="4" t="str">
        <f>PROPER(TEXT(DATE(,TB_Vendas[[#This Row],[Nº]],1),"Mmm"))</f>
        <v>Jan</v>
      </c>
      <c r="C5" s="3">
        <v>44931</v>
      </c>
      <c r="D5" s="4" t="s">
        <v>37</v>
      </c>
      <c r="E5" s="4" t="str">
        <f>_xlfn.XLOOKUP(TB_Vendas[[#This Row],[Código]],TB_Produtos[Código],TB_Produtos[Categoria])</f>
        <v>Acessórios</v>
      </c>
      <c r="F5" s="1">
        <v>1</v>
      </c>
      <c r="G5" s="7">
        <f>VLOOKUP(TB_Vendas[[#This Row],[Código]],Produtos!$B$6:$G$66,6,0)</f>
        <v>39.9</v>
      </c>
      <c r="H5" s="1">
        <f>_xlfn.XMATCH(TB_Vendas[[#This Row],[Categoria]],Desc_Categorias,0)</f>
        <v>2</v>
      </c>
      <c r="I5" s="43">
        <f>VLOOKUP(TB_Vendas[[#This Row],[Qtd]],Desc_TabelaToda,TB_Vendas[[#This Row],[Indice]],TRUE)</f>
        <v>0</v>
      </c>
      <c r="J5" s="43" cm="1">
        <f t="array" ref="J5">INDEX(Desc_TabelaToda,MATCH(TB_Vendas[[#This Row],[Qtd]],Desc_Quantidades,1),MATCH(_xlfn.XLOOKUP(TB_Vendas[[#This Row],[Código]],TB_Produtos[[#All],[Código]],TB_Produtos[[#All],[Categoria]]),Desc_Categorias,0))</f>
        <v>0</v>
      </c>
      <c r="K5" s="43">
        <f>_xlfn.XLOOKUP(TB_Vendas[[#This Row],[Vendedor]],Vendedores!$A$5:$A$9,Vendedores!$D$5:$D$9)</f>
        <v>0.15</v>
      </c>
      <c r="L5" s="43">
        <f>IF(TB_Vendas[[#This Row],[Desconto 
(Diretão)]]&lt;=TB_Vendas[[#This Row],[Desconto 
(Vendedor)]],TB_Vendas[[#This Row],[Desconto 
(Diretão)]],TB_Vendas[[#This Row],[Desconto 
(Vendedor)]])</f>
        <v>0</v>
      </c>
      <c r="M5" s="2">
        <f>TB_Vendas[[#This Row],[Preço Unitário]]*TB_Vendas[[#This Row],[Qtd]]</f>
        <v>39.9</v>
      </c>
      <c r="N5" s="1" t="s">
        <v>115</v>
      </c>
    </row>
    <row r="6" spans="1:14">
      <c r="A6" s="4">
        <f>MONTH(TB_Vendas[[#This Row],[Data]])</f>
        <v>1</v>
      </c>
      <c r="B6" s="4" t="str">
        <f>PROPER(TEXT(DATE(,TB_Vendas[[#This Row],[Nº]],1),"Mmm"))</f>
        <v>Jan</v>
      </c>
      <c r="C6" s="3">
        <v>44932</v>
      </c>
      <c r="D6" s="4" t="s">
        <v>36</v>
      </c>
      <c r="E6" s="4" t="str">
        <f>_xlfn.XLOOKUP(TB_Vendas[[#This Row],[Código]],TB_Produtos[Código],TB_Produtos[Categoria])</f>
        <v>Acessórios</v>
      </c>
      <c r="F6" s="1">
        <v>1</v>
      </c>
      <c r="G6" s="7">
        <f>VLOOKUP(TB_Vendas[[#This Row],[Código]],Produtos!$B$6:$G$66,6,0)</f>
        <v>259.89999999999998</v>
      </c>
      <c r="H6" s="1">
        <f>_xlfn.XMATCH(TB_Vendas[[#This Row],[Categoria]],Desc_Categorias,0)</f>
        <v>2</v>
      </c>
      <c r="I6" s="43">
        <f>VLOOKUP(TB_Vendas[[#This Row],[Qtd]],Desc_TabelaToda,TB_Vendas[[#This Row],[Indice]],TRUE)</f>
        <v>0</v>
      </c>
      <c r="J6" s="43" cm="1">
        <f t="array" ref="J6">INDEX(Desc_TabelaToda,MATCH(TB_Vendas[[#This Row],[Qtd]],Desc_Quantidades,1),MATCH(_xlfn.XLOOKUP(TB_Vendas[[#This Row],[Código]],TB_Produtos[[#All],[Código]],TB_Produtos[[#All],[Categoria]]),Desc_Categorias,0))</f>
        <v>0</v>
      </c>
      <c r="K6" s="43">
        <f>_xlfn.XLOOKUP(TB_Vendas[[#This Row],[Vendedor]],Vendedores!$A$5:$A$9,Vendedores!$D$5:$D$9)</f>
        <v>0.15</v>
      </c>
      <c r="L6" s="43">
        <f>IF(TB_Vendas[[#This Row],[Desconto 
(Diretão)]]&lt;=TB_Vendas[[#This Row],[Desconto 
(Vendedor)]],TB_Vendas[[#This Row],[Desconto 
(Diretão)]],TB_Vendas[[#This Row],[Desconto 
(Vendedor)]])</f>
        <v>0</v>
      </c>
      <c r="M6" s="2">
        <f>TB_Vendas[[#This Row],[Preço Unitário]]*TB_Vendas[[#This Row],[Qtd]]</f>
        <v>259.89999999999998</v>
      </c>
      <c r="N6" s="1" t="s">
        <v>115</v>
      </c>
    </row>
    <row r="7" spans="1:14">
      <c r="A7" s="4">
        <f>MONTH(TB_Vendas[[#This Row],[Data]])</f>
        <v>1</v>
      </c>
      <c r="B7" s="4" t="str">
        <f>PROPER(TEXT(DATE(,TB_Vendas[[#This Row],[Nº]],1),"Mmm"))</f>
        <v>Jan</v>
      </c>
      <c r="C7" s="3">
        <v>44933</v>
      </c>
      <c r="D7" s="4" t="s">
        <v>98</v>
      </c>
      <c r="E7" s="4" t="str">
        <f>_xlfn.XLOOKUP(TB_Vendas[[#This Row],[Código]],TB_Produtos[Código],TB_Produtos[Categoria])</f>
        <v>Vestuário</v>
      </c>
      <c r="F7" s="1">
        <v>2</v>
      </c>
      <c r="G7" s="7">
        <f>VLOOKUP(TB_Vendas[[#This Row],[Código]],Produtos!$B$6:$G$66,6,0)</f>
        <v>32.9</v>
      </c>
      <c r="H7" s="1">
        <f>_xlfn.XMATCH(TB_Vendas[[#This Row],[Categoria]],Desc_Categorias,0)</f>
        <v>3</v>
      </c>
      <c r="I7" s="43">
        <f>VLOOKUP(TB_Vendas[[#This Row],[Qtd]],Desc_TabelaToda,TB_Vendas[[#This Row],[Indice]],TRUE)</f>
        <v>0.15</v>
      </c>
      <c r="J7" s="43" cm="1">
        <f t="array" ref="J7">INDEX(Desc_TabelaToda,MATCH(TB_Vendas[[#This Row],[Qtd]],Desc_Quantidades,1),MATCH(_xlfn.XLOOKUP(TB_Vendas[[#This Row],[Código]],TB_Produtos[[#All],[Código]],TB_Produtos[[#All],[Categoria]]),Desc_Categorias,0))</f>
        <v>0.15</v>
      </c>
      <c r="K7" s="43">
        <f>_xlfn.XLOOKUP(TB_Vendas[[#This Row],[Vendedor]],Vendedores!$A$5:$A$9,Vendedores!$D$5:$D$9)</f>
        <v>0.2</v>
      </c>
      <c r="L7" s="43">
        <f>IF(TB_Vendas[[#This Row],[Desconto 
(Diretão)]]&lt;=TB_Vendas[[#This Row],[Desconto 
(Vendedor)]],TB_Vendas[[#This Row],[Desconto 
(Diretão)]],TB_Vendas[[#This Row],[Desconto 
(Vendedor)]])</f>
        <v>0.15</v>
      </c>
      <c r="M7" s="2">
        <f>TB_Vendas[[#This Row],[Preço Unitário]]*TB_Vendas[[#This Row],[Qtd]]</f>
        <v>65.8</v>
      </c>
      <c r="N7" s="1" t="s">
        <v>114</v>
      </c>
    </row>
    <row r="8" spans="1:14">
      <c r="A8" s="4">
        <f>MONTH(TB_Vendas[[#This Row],[Data]])</f>
        <v>1</v>
      </c>
      <c r="B8" s="4" t="str">
        <f>PROPER(TEXT(DATE(,TB_Vendas[[#This Row],[Nº]],1),"Mmm"))</f>
        <v>Jan</v>
      </c>
      <c r="C8" s="3">
        <v>44938</v>
      </c>
      <c r="D8" s="4" t="s">
        <v>42</v>
      </c>
      <c r="E8" s="4" t="str">
        <f>_xlfn.XLOOKUP(TB_Vendas[[#This Row],[Código]],TB_Produtos[Código],TB_Produtos[Categoria])</f>
        <v>Vestuário</v>
      </c>
      <c r="F8" s="1">
        <v>1</v>
      </c>
      <c r="G8" s="7">
        <f>VLOOKUP(TB_Vendas[[#This Row],[Código]],Produtos!$B$6:$G$66,6,0)</f>
        <v>46.9</v>
      </c>
      <c r="H8" s="1">
        <f>_xlfn.XMATCH(TB_Vendas[[#This Row],[Categoria]],Desc_Categorias,0)</f>
        <v>3</v>
      </c>
      <c r="I8" s="43">
        <f>VLOOKUP(TB_Vendas[[#This Row],[Qtd]],Desc_TabelaToda,TB_Vendas[[#This Row],[Indice]],TRUE)</f>
        <v>0.1</v>
      </c>
      <c r="J8" s="43" cm="1">
        <f t="array" ref="J8">INDEX(Desc_TabelaToda,MATCH(TB_Vendas[[#This Row],[Qtd]],Desc_Quantidades,1),MATCH(_xlfn.XLOOKUP(TB_Vendas[[#This Row],[Código]],TB_Produtos[[#All],[Código]],TB_Produtos[[#All],[Categoria]]),Desc_Categorias,0))</f>
        <v>0.1</v>
      </c>
      <c r="K8" s="43">
        <f>_xlfn.XLOOKUP(TB_Vendas[[#This Row],[Vendedor]],Vendedores!$A$5:$A$9,Vendedores!$D$5:$D$9)</f>
        <v>0.15</v>
      </c>
      <c r="L8" s="43">
        <f>IF(TB_Vendas[[#This Row],[Desconto 
(Diretão)]]&lt;=TB_Vendas[[#This Row],[Desconto 
(Vendedor)]],TB_Vendas[[#This Row],[Desconto 
(Diretão)]],TB_Vendas[[#This Row],[Desconto 
(Vendedor)]])</f>
        <v>0.1</v>
      </c>
      <c r="M8" s="2">
        <f>TB_Vendas[[#This Row],[Preço Unitário]]*TB_Vendas[[#This Row],[Qtd]]</f>
        <v>46.9</v>
      </c>
      <c r="N8" s="1" t="s">
        <v>118</v>
      </c>
    </row>
    <row r="9" spans="1:14">
      <c r="A9" s="4">
        <f>MONTH(TB_Vendas[[#This Row],[Data]])</f>
        <v>1</v>
      </c>
      <c r="B9" s="4" t="str">
        <f>PROPER(TEXT(DATE(,TB_Vendas[[#This Row],[Nº]],1),"Mmm"))</f>
        <v>Jan</v>
      </c>
      <c r="C9" s="3">
        <v>44939</v>
      </c>
      <c r="D9" s="4" t="s">
        <v>48</v>
      </c>
      <c r="E9" s="4" t="str">
        <f>_xlfn.XLOOKUP(TB_Vendas[[#This Row],[Código]],TB_Produtos[Código],TB_Produtos[Categoria])</f>
        <v>Vestuário</v>
      </c>
      <c r="F9" s="1">
        <v>1</v>
      </c>
      <c r="G9" s="7">
        <f>VLOOKUP(TB_Vendas[[#This Row],[Código]],Produtos!$B$6:$G$66,6,0)</f>
        <v>29.9</v>
      </c>
      <c r="H9" s="1">
        <f>_xlfn.XMATCH(TB_Vendas[[#This Row],[Categoria]],Desc_Categorias,0)</f>
        <v>3</v>
      </c>
      <c r="I9" s="43">
        <f>VLOOKUP(TB_Vendas[[#This Row],[Qtd]],Desc_TabelaToda,TB_Vendas[[#This Row],[Indice]],TRUE)</f>
        <v>0.1</v>
      </c>
      <c r="J9" s="43" cm="1">
        <f t="array" ref="J9">INDEX(Desc_TabelaToda,MATCH(TB_Vendas[[#This Row],[Qtd]],Desc_Quantidades,1),MATCH(_xlfn.XLOOKUP(TB_Vendas[[#This Row],[Código]],TB_Produtos[[#All],[Código]],TB_Produtos[[#All],[Categoria]]),Desc_Categorias,0))</f>
        <v>0.1</v>
      </c>
      <c r="K9" s="43">
        <f>_xlfn.XLOOKUP(TB_Vendas[[#This Row],[Vendedor]],Vendedores!$A$5:$A$9,Vendedores!$D$5:$D$9)</f>
        <v>0.15</v>
      </c>
      <c r="L9" s="43">
        <f>IF(TB_Vendas[[#This Row],[Desconto 
(Diretão)]]&lt;=TB_Vendas[[#This Row],[Desconto 
(Vendedor)]],TB_Vendas[[#This Row],[Desconto 
(Diretão)]],TB_Vendas[[#This Row],[Desconto 
(Vendedor)]])</f>
        <v>0.1</v>
      </c>
      <c r="M9" s="2">
        <f>TB_Vendas[[#This Row],[Preço Unitário]]*TB_Vendas[[#This Row],[Qtd]]</f>
        <v>29.9</v>
      </c>
      <c r="N9" s="1" t="s">
        <v>115</v>
      </c>
    </row>
    <row r="10" spans="1:14">
      <c r="A10" s="4">
        <f>MONTH(TB_Vendas[[#This Row],[Data]])</f>
        <v>1</v>
      </c>
      <c r="B10" s="4" t="str">
        <f>PROPER(TEXT(DATE(,TB_Vendas[[#This Row],[Nº]],1),"Mmm"))</f>
        <v>Jan</v>
      </c>
      <c r="C10" s="3">
        <v>44943</v>
      </c>
      <c r="D10" s="4" t="s">
        <v>56</v>
      </c>
      <c r="E10" s="4" t="str">
        <f>_xlfn.XLOOKUP(TB_Vendas[[#This Row],[Código]],TB_Produtos[Código],TB_Produtos[Categoria])</f>
        <v>Vestuário</v>
      </c>
      <c r="F10" s="1">
        <v>1</v>
      </c>
      <c r="G10" s="7">
        <f>VLOOKUP(TB_Vendas[[#This Row],[Código]],Produtos!$B$6:$G$66,6,0)</f>
        <v>299.89999999999998</v>
      </c>
      <c r="H10" s="1">
        <f>_xlfn.XMATCH(TB_Vendas[[#This Row],[Categoria]],Desc_Categorias,0)</f>
        <v>3</v>
      </c>
      <c r="I10" s="43">
        <f>VLOOKUP(TB_Vendas[[#This Row],[Qtd]],Desc_TabelaToda,TB_Vendas[[#This Row],[Indice]],TRUE)</f>
        <v>0.1</v>
      </c>
      <c r="J10" s="43" cm="1">
        <f t="array" ref="J10">INDEX(Desc_TabelaToda,MATCH(TB_Vendas[[#This Row],[Qtd]],Desc_Quantidades,1),MATCH(_xlfn.XLOOKUP(TB_Vendas[[#This Row],[Código]],TB_Produtos[[#All],[Código]],TB_Produtos[[#All],[Categoria]]),Desc_Categorias,0))</f>
        <v>0.1</v>
      </c>
      <c r="K10" s="43">
        <f>_xlfn.XLOOKUP(TB_Vendas[[#This Row],[Vendedor]],Vendedores!$A$5:$A$9,Vendedores!$D$5:$D$9)</f>
        <v>0.15</v>
      </c>
      <c r="L10" s="43">
        <f>IF(TB_Vendas[[#This Row],[Desconto 
(Diretão)]]&lt;=TB_Vendas[[#This Row],[Desconto 
(Vendedor)]],TB_Vendas[[#This Row],[Desconto 
(Diretão)]],TB_Vendas[[#This Row],[Desconto 
(Vendedor)]])</f>
        <v>0.1</v>
      </c>
      <c r="M10" s="2">
        <f>TB_Vendas[[#This Row],[Preço Unitário]]*TB_Vendas[[#This Row],[Qtd]]</f>
        <v>299.89999999999998</v>
      </c>
      <c r="N10" s="1" t="s">
        <v>118</v>
      </c>
    </row>
    <row r="11" spans="1:14">
      <c r="A11" s="4">
        <f>MONTH(TB_Vendas[[#This Row],[Data]])</f>
        <v>1</v>
      </c>
      <c r="B11" s="4" t="str">
        <f>PROPER(TEXT(DATE(,TB_Vendas[[#This Row],[Nº]],1),"Mmm"))</f>
        <v>Jan</v>
      </c>
      <c r="C11" s="3">
        <v>44949</v>
      </c>
      <c r="D11" s="4" t="s">
        <v>70</v>
      </c>
      <c r="E11" s="4" t="str">
        <f>_xlfn.XLOOKUP(TB_Vendas[[#This Row],[Código]],TB_Produtos[Código],TB_Produtos[Categoria])</f>
        <v>Vestuário</v>
      </c>
      <c r="F11" s="1">
        <v>1</v>
      </c>
      <c r="G11" s="7">
        <f>VLOOKUP(TB_Vendas[[#This Row],[Código]],Produtos!$B$6:$G$66,6,0)</f>
        <v>146</v>
      </c>
      <c r="H11" s="1">
        <f>_xlfn.XMATCH(TB_Vendas[[#This Row],[Categoria]],Desc_Categorias,0)</f>
        <v>3</v>
      </c>
      <c r="I11" s="43">
        <f>VLOOKUP(TB_Vendas[[#This Row],[Qtd]],Desc_TabelaToda,TB_Vendas[[#This Row],[Indice]],TRUE)</f>
        <v>0.1</v>
      </c>
      <c r="J11" s="43" cm="1">
        <f t="array" ref="J11">INDEX(Desc_TabelaToda,MATCH(TB_Vendas[[#This Row],[Qtd]],Desc_Quantidades,1),MATCH(_xlfn.XLOOKUP(TB_Vendas[[#This Row],[Código]],TB_Produtos[[#All],[Código]],TB_Produtos[[#All],[Categoria]]),Desc_Categorias,0))</f>
        <v>0.1</v>
      </c>
      <c r="K11" s="43">
        <f>_xlfn.XLOOKUP(TB_Vendas[[#This Row],[Vendedor]],Vendedores!$A$5:$A$9,Vendedores!$D$5:$D$9)</f>
        <v>0.1</v>
      </c>
      <c r="L11" s="43">
        <f>IF(TB_Vendas[[#This Row],[Desconto 
(Diretão)]]&lt;=TB_Vendas[[#This Row],[Desconto 
(Vendedor)]],TB_Vendas[[#This Row],[Desconto 
(Diretão)]],TB_Vendas[[#This Row],[Desconto 
(Vendedor)]])</f>
        <v>0.1</v>
      </c>
      <c r="M11" s="2">
        <f>TB_Vendas[[#This Row],[Preço Unitário]]*TB_Vendas[[#This Row],[Qtd]]</f>
        <v>146</v>
      </c>
      <c r="N11" s="1" t="s">
        <v>116</v>
      </c>
    </row>
    <row r="12" spans="1:14">
      <c r="A12" s="4">
        <f>MONTH(TB_Vendas[[#This Row],[Data]])</f>
        <v>1</v>
      </c>
      <c r="B12" s="4" t="str">
        <f>PROPER(TEXT(DATE(,TB_Vendas[[#This Row],[Nº]],1),"Mmm"))</f>
        <v>Jan</v>
      </c>
      <c r="C12" s="3">
        <v>44952</v>
      </c>
      <c r="D12" s="4" t="s">
        <v>65</v>
      </c>
      <c r="E12" s="4" t="str">
        <f>_xlfn.XLOOKUP(TB_Vendas[[#This Row],[Código]],TB_Produtos[Código],TB_Produtos[Categoria])</f>
        <v>Vestuário</v>
      </c>
      <c r="F12" s="1">
        <v>2</v>
      </c>
      <c r="G12" s="7">
        <f>VLOOKUP(TB_Vendas[[#This Row],[Código]],Produtos!$B$6:$G$66,6,0)</f>
        <v>89.9</v>
      </c>
      <c r="H12" s="1">
        <f>_xlfn.XMATCH(TB_Vendas[[#This Row],[Categoria]],Desc_Categorias,0)</f>
        <v>3</v>
      </c>
      <c r="I12" s="43">
        <f>VLOOKUP(TB_Vendas[[#This Row],[Qtd]],Desc_TabelaToda,TB_Vendas[[#This Row],[Indice]],TRUE)</f>
        <v>0.15</v>
      </c>
      <c r="J12" s="43" cm="1">
        <f t="array" ref="J12">INDEX(Desc_TabelaToda,MATCH(TB_Vendas[[#This Row],[Qtd]],Desc_Quantidades,1),MATCH(_xlfn.XLOOKUP(TB_Vendas[[#This Row],[Código]],TB_Produtos[[#All],[Código]],TB_Produtos[[#All],[Categoria]]),Desc_Categorias,0))</f>
        <v>0.15</v>
      </c>
      <c r="K12" s="43">
        <f>_xlfn.XLOOKUP(TB_Vendas[[#This Row],[Vendedor]],Vendedores!$A$5:$A$9,Vendedores!$D$5:$D$9)</f>
        <v>0.1</v>
      </c>
      <c r="L12" s="43">
        <f>IF(TB_Vendas[[#This Row],[Desconto 
(Diretão)]]&lt;=TB_Vendas[[#This Row],[Desconto 
(Vendedor)]],TB_Vendas[[#This Row],[Desconto 
(Diretão)]],TB_Vendas[[#This Row],[Desconto 
(Vendedor)]])</f>
        <v>0.1</v>
      </c>
      <c r="M12" s="2">
        <f>TB_Vendas[[#This Row],[Preço Unitário]]*TB_Vendas[[#This Row],[Qtd]]</f>
        <v>179.8</v>
      </c>
      <c r="N12" s="1" t="s">
        <v>116</v>
      </c>
    </row>
    <row r="13" spans="1:14">
      <c r="A13" s="4">
        <f>MONTH(TB_Vendas[[#This Row],[Data]])</f>
        <v>1</v>
      </c>
      <c r="B13" s="4" t="str">
        <f>PROPER(TEXT(DATE(,TB_Vendas[[#This Row],[Nº]],1),"Mmm"))</f>
        <v>Jan</v>
      </c>
      <c r="C13" s="3">
        <v>44954</v>
      </c>
      <c r="D13" s="4" t="s">
        <v>63</v>
      </c>
      <c r="E13" s="4" t="str">
        <f>_xlfn.XLOOKUP(TB_Vendas[[#This Row],[Código]],TB_Produtos[Código],TB_Produtos[Categoria])</f>
        <v>Calçado</v>
      </c>
      <c r="F13" s="1">
        <v>2</v>
      </c>
      <c r="G13" s="7">
        <f>VLOOKUP(TB_Vendas[[#This Row],[Código]],Produtos!$B$6:$G$66,6,0)</f>
        <v>250</v>
      </c>
      <c r="H13" s="1">
        <f>_xlfn.XMATCH(TB_Vendas[[#This Row],[Categoria]],Desc_Categorias,0)</f>
        <v>4</v>
      </c>
      <c r="I13" s="43">
        <f>VLOOKUP(TB_Vendas[[#This Row],[Qtd]],Desc_TabelaToda,TB_Vendas[[#This Row],[Indice]],TRUE)</f>
        <v>0.1</v>
      </c>
      <c r="J13" s="43" cm="1">
        <f t="array" ref="J13">INDEX(Desc_TabelaToda,MATCH(TB_Vendas[[#This Row],[Qtd]],Desc_Quantidades,1),MATCH(_xlfn.XLOOKUP(TB_Vendas[[#This Row],[Código]],TB_Produtos[[#All],[Código]],TB_Produtos[[#All],[Categoria]]),Desc_Categorias,0))</f>
        <v>0.1</v>
      </c>
      <c r="K13" s="43">
        <f>_xlfn.XLOOKUP(TB_Vendas[[#This Row],[Vendedor]],Vendedores!$A$5:$A$9,Vendedores!$D$5:$D$9)</f>
        <v>0.15</v>
      </c>
      <c r="L13" s="43">
        <f>IF(TB_Vendas[[#This Row],[Desconto 
(Diretão)]]&lt;=TB_Vendas[[#This Row],[Desconto 
(Vendedor)]],TB_Vendas[[#This Row],[Desconto 
(Diretão)]],TB_Vendas[[#This Row],[Desconto 
(Vendedor)]])</f>
        <v>0.1</v>
      </c>
      <c r="M13" s="2">
        <f>TB_Vendas[[#This Row],[Preço Unitário]]*TB_Vendas[[#This Row],[Qtd]]</f>
        <v>500</v>
      </c>
      <c r="N13" s="1" t="s">
        <v>115</v>
      </c>
    </row>
    <row r="14" spans="1:14">
      <c r="A14" s="4">
        <f>MONTH(TB_Vendas[[#This Row],[Data]])</f>
        <v>1</v>
      </c>
      <c r="B14" s="4" t="str">
        <f>PROPER(TEXT(DATE(,TB_Vendas[[#This Row],[Nº]],1),"Mmm"))</f>
        <v>Jan</v>
      </c>
      <c r="C14" s="3">
        <v>44955</v>
      </c>
      <c r="D14" s="4" t="s">
        <v>44</v>
      </c>
      <c r="E14" s="4" t="str">
        <f>_xlfn.XLOOKUP(TB_Vendas[[#This Row],[Código]],TB_Produtos[Código],TB_Produtos[Categoria])</f>
        <v>Vestuário</v>
      </c>
      <c r="F14" s="1">
        <v>1</v>
      </c>
      <c r="G14" s="7">
        <f>VLOOKUP(TB_Vendas[[#This Row],[Código]],Produtos!$B$6:$G$66,6,0)</f>
        <v>39.9</v>
      </c>
      <c r="H14" s="1">
        <f>_xlfn.XMATCH(TB_Vendas[[#This Row],[Categoria]],Desc_Categorias,0)</f>
        <v>3</v>
      </c>
      <c r="I14" s="43">
        <f>VLOOKUP(TB_Vendas[[#This Row],[Qtd]],Desc_TabelaToda,TB_Vendas[[#This Row],[Indice]],TRUE)</f>
        <v>0.1</v>
      </c>
      <c r="J14" s="43" cm="1">
        <f t="array" ref="J14">INDEX(Desc_TabelaToda,MATCH(TB_Vendas[[#This Row],[Qtd]],Desc_Quantidades,1),MATCH(_xlfn.XLOOKUP(TB_Vendas[[#This Row],[Código]],TB_Produtos[[#All],[Código]],TB_Produtos[[#All],[Categoria]]),Desc_Categorias,0))</f>
        <v>0.1</v>
      </c>
      <c r="K14" s="43">
        <f>_xlfn.XLOOKUP(TB_Vendas[[#This Row],[Vendedor]],Vendedores!$A$5:$A$9,Vendedores!$D$5:$D$9)</f>
        <v>0.15</v>
      </c>
      <c r="L14" s="43">
        <f>IF(TB_Vendas[[#This Row],[Desconto 
(Diretão)]]&lt;=TB_Vendas[[#This Row],[Desconto 
(Vendedor)]],TB_Vendas[[#This Row],[Desconto 
(Diretão)]],TB_Vendas[[#This Row],[Desconto 
(Vendedor)]])</f>
        <v>0.1</v>
      </c>
      <c r="M14" s="2">
        <f>TB_Vendas[[#This Row],[Preço Unitário]]*TB_Vendas[[#This Row],[Qtd]]</f>
        <v>39.9</v>
      </c>
      <c r="N14" s="1" t="s">
        <v>115</v>
      </c>
    </row>
    <row r="15" spans="1:14">
      <c r="A15" s="4">
        <f>MONTH(TB_Vendas[[#This Row],[Data]])</f>
        <v>1</v>
      </c>
      <c r="B15" s="4" t="str">
        <f>PROPER(TEXT(DATE(,TB_Vendas[[#This Row],[Nº]],1),"Mmm"))</f>
        <v>Jan</v>
      </c>
      <c r="C15" s="3">
        <v>44956</v>
      </c>
      <c r="D15" s="4" t="s">
        <v>69</v>
      </c>
      <c r="E15" s="4" t="str">
        <f>_xlfn.XLOOKUP(TB_Vendas[[#This Row],[Código]],TB_Produtos[Código],TB_Produtos[Categoria])</f>
        <v>Vestuário</v>
      </c>
      <c r="F15" s="1">
        <v>1</v>
      </c>
      <c r="G15" s="7">
        <f>VLOOKUP(TB_Vendas[[#This Row],[Código]],Produtos!$B$6:$G$66,6,0)</f>
        <v>142.9</v>
      </c>
      <c r="H15" s="1">
        <f>_xlfn.XMATCH(TB_Vendas[[#This Row],[Categoria]],Desc_Categorias,0)</f>
        <v>3</v>
      </c>
      <c r="I15" s="43">
        <f>VLOOKUP(TB_Vendas[[#This Row],[Qtd]],Desc_TabelaToda,TB_Vendas[[#This Row],[Indice]],TRUE)</f>
        <v>0.1</v>
      </c>
      <c r="J15" s="43" cm="1">
        <f t="array" ref="J15">INDEX(Desc_TabelaToda,MATCH(TB_Vendas[[#This Row],[Qtd]],Desc_Quantidades,1),MATCH(_xlfn.XLOOKUP(TB_Vendas[[#This Row],[Código]],TB_Produtos[[#All],[Código]],TB_Produtos[[#All],[Categoria]]),Desc_Categorias,0))</f>
        <v>0.1</v>
      </c>
      <c r="K15" s="43">
        <f>_xlfn.XLOOKUP(TB_Vendas[[#This Row],[Vendedor]],Vendedores!$A$5:$A$9,Vendedores!$D$5:$D$9)</f>
        <v>0.2</v>
      </c>
      <c r="L15" s="43">
        <f>IF(TB_Vendas[[#This Row],[Desconto 
(Diretão)]]&lt;=TB_Vendas[[#This Row],[Desconto 
(Vendedor)]],TB_Vendas[[#This Row],[Desconto 
(Diretão)]],TB_Vendas[[#This Row],[Desconto 
(Vendedor)]])</f>
        <v>0.1</v>
      </c>
      <c r="M15" s="2">
        <f>TB_Vendas[[#This Row],[Preço Unitário]]*TB_Vendas[[#This Row],[Qtd]]</f>
        <v>142.9</v>
      </c>
      <c r="N15" s="1" t="s">
        <v>117</v>
      </c>
    </row>
    <row r="16" spans="1:14">
      <c r="A16" s="4">
        <f>MONTH(TB_Vendas[[#This Row],[Data]])</f>
        <v>2</v>
      </c>
      <c r="B16" s="4" t="str">
        <f>PROPER(TEXT(DATE(,TB_Vendas[[#This Row],[Nº]],1),"Mmm"))</f>
        <v>Fev</v>
      </c>
      <c r="C16" s="3">
        <v>44960</v>
      </c>
      <c r="D16" s="4" t="s">
        <v>53</v>
      </c>
      <c r="E16" s="4" t="str">
        <f>_xlfn.XLOOKUP(TB_Vendas[[#This Row],[Código]],TB_Produtos[Código],TB_Produtos[Categoria])</f>
        <v>Vestuário</v>
      </c>
      <c r="F16" s="1">
        <v>1</v>
      </c>
      <c r="G16" s="7">
        <f>VLOOKUP(TB_Vendas[[#This Row],[Código]],Produtos!$B$6:$G$66,6,0)</f>
        <v>300</v>
      </c>
      <c r="H16" s="1">
        <f>_xlfn.XMATCH(TB_Vendas[[#This Row],[Categoria]],Desc_Categorias,0)</f>
        <v>3</v>
      </c>
      <c r="I16" s="43">
        <f>VLOOKUP(TB_Vendas[[#This Row],[Qtd]],Desc_TabelaToda,TB_Vendas[[#This Row],[Indice]],TRUE)</f>
        <v>0.1</v>
      </c>
      <c r="J16" s="43" cm="1">
        <f t="array" ref="J16">INDEX(Desc_TabelaToda,MATCH(TB_Vendas[[#This Row],[Qtd]],Desc_Quantidades,1),MATCH(_xlfn.XLOOKUP(TB_Vendas[[#This Row],[Código]],TB_Produtos[[#All],[Código]],TB_Produtos[[#All],[Categoria]]),Desc_Categorias,0))</f>
        <v>0.1</v>
      </c>
      <c r="K16" s="43">
        <f>_xlfn.XLOOKUP(TB_Vendas[[#This Row],[Vendedor]],Vendedores!$A$5:$A$9,Vendedores!$D$5:$D$9)</f>
        <v>0.1</v>
      </c>
      <c r="L16" s="43">
        <f>IF(TB_Vendas[[#This Row],[Desconto 
(Diretão)]]&lt;=TB_Vendas[[#This Row],[Desconto 
(Vendedor)]],TB_Vendas[[#This Row],[Desconto 
(Diretão)]],TB_Vendas[[#This Row],[Desconto 
(Vendedor)]])</f>
        <v>0.1</v>
      </c>
      <c r="M16" s="2">
        <f>TB_Vendas[[#This Row],[Preço Unitário]]*TB_Vendas[[#This Row],[Qtd]]</f>
        <v>300</v>
      </c>
      <c r="N16" s="1" t="s">
        <v>116</v>
      </c>
    </row>
    <row r="17" spans="1:14">
      <c r="A17" s="4">
        <f>MONTH(TB_Vendas[[#This Row],[Data]])</f>
        <v>2</v>
      </c>
      <c r="B17" s="4" t="str">
        <f>PROPER(TEXT(DATE(,TB_Vendas[[#This Row],[Nº]],1),"Mmm"))</f>
        <v>Fev</v>
      </c>
      <c r="C17" s="3">
        <v>44962</v>
      </c>
      <c r="D17" s="4" t="s">
        <v>94</v>
      </c>
      <c r="E17" s="4" t="str">
        <f>_xlfn.XLOOKUP(TB_Vendas[[#This Row],[Código]],TB_Produtos[Código],TB_Produtos[Categoria])</f>
        <v>Vestuário</v>
      </c>
      <c r="F17" s="1">
        <v>2</v>
      </c>
      <c r="G17" s="7">
        <f>VLOOKUP(TB_Vendas[[#This Row],[Código]],Produtos!$B$6:$G$66,6,0)</f>
        <v>289.89999999999998</v>
      </c>
      <c r="H17" s="1">
        <f>_xlfn.XMATCH(TB_Vendas[[#This Row],[Categoria]],Desc_Categorias,0)</f>
        <v>3</v>
      </c>
      <c r="I17" s="43">
        <f>VLOOKUP(TB_Vendas[[#This Row],[Qtd]],Desc_TabelaToda,TB_Vendas[[#This Row],[Indice]],TRUE)</f>
        <v>0.15</v>
      </c>
      <c r="J17" s="43" cm="1">
        <f t="array" ref="J17">INDEX(Desc_TabelaToda,MATCH(TB_Vendas[[#This Row],[Qtd]],Desc_Quantidades,1),MATCH(_xlfn.XLOOKUP(TB_Vendas[[#This Row],[Código]],TB_Produtos[[#All],[Código]],TB_Produtos[[#All],[Categoria]]),Desc_Categorias,0))</f>
        <v>0.15</v>
      </c>
      <c r="K17" s="43">
        <f>_xlfn.XLOOKUP(TB_Vendas[[#This Row],[Vendedor]],Vendedores!$A$5:$A$9,Vendedores!$D$5:$D$9)</f>
        <v>0.2</v>
      </c>
      <c r="L17" s="43">
        <f>IF(TB_Vendas[[#This Row],[Desconto 
(Diretão)]]&lt;=TB_Vendas[[#This Row],[Desconto 
(Vendedor)]],TB_Vendas[[#This Row],[Desconto 
(Diretão)]],TB_Vendas[[#This Row],[Desconto 
(Vendedor)]])</f>
        <v>0.15</v>
      </c>
      <c r="M17" s="2">
        <f>TB_Vendas[[#This Row],[Preço Unitário]]*TB_Vendas[[#This Row],[Qtd]]</f>
        <v>579.79999999999995</v>
      </c>
      <c r="N17" s="1" t="s">
        <v>117</v>
      </c>
    </row>
    <row r="18" spans="1:14">
      <c r="A18" s="4">
        <f>MONTH(TB_Vendas[[#This Row],[Data]])</f>
        <v>2</v>
      </c>
      <c r="B18" s="4" t="str">
        <f>PROPER(TEXT(DATE(,TB_Vendas[[#This Row],[Nº]],1),"Mmm"))</f>
        <v>Fev</v>
      </c>
      <c r="C18" s="3">
        <v>44975</v>
      </c>
      <c r="D18" s="4" t="s">
        <v>59</v>
      </c>
      <c r="E18" s="4" t="str">
        <f>_xlfn.XLOOKUP(TB_Vendas[[#This Row],[Código]],TB_Produtos[Código],TB_Produtos[Categoria])</f>
        <v>Calçado</v>
      </c>
      <c r="F18" s="1">
        <v>1</v>
      </c>
      <c r="G18" s="7">
        <f>VLOOKUP(TB_Vendas[[#This Row],[Código]],Produtos!$B$6:$G$66,6,0)</f>
        <v>249.9</v>
      </c>
      <c r="H18" s="1">
        <f>_xlfn.XMATCH(TB_Vendas[[#This Row],[Categoria]],Desc_Categorias,0)</f>
        <v>4</v>
      </c>
      <c r="I18" s="43">
        <f>VLOOKUP(TB_Vendas[[#This Row],[Qtd]],Desc_TabelaToda,TB_Vendas[[#This Row],[Indice]],TRUE)</f>
        <v>0</v>
      </c>
      <c r="J18" s="43" cm="1">
        <f t="array" ref="J18">INDEX(Desc_TabelaToda,MATCH(TB_Vendas[[#This Row],[Qtd]],Desc_Quantidades,1),MATCH(_xlfn.XLOOKUP(TB_Vendas[[#This Row],[Código]],TB_Produtos[[#All],[Código]],TB_Produtos[[#All],[Categoria]]),Desc_Categorias,0))</f>
        <v>0</v>
      </c>
      <c r="K18" s="43">
        <f>_xlfn.XLOOKUP(TB_Vendas[[#This Row],[Vendedor]],Vendedores!$A$5:$A$9,Vendedores!$D$5:$D$9)</f>
        <v>0.2</v>
      </c>
      <c r="L18" s="43">
        <f>IF(TB_Vendas[[#This Row],[Desconto 
(Diretão)]]&lt;=TB_Vendas[[#This Row],[Desconto 
(Vendedor)]],TB_Vendas[[#This Row],[Desconto 
(Diretão)]],TB_Vendas[[#This Row],[Desconto 
(Vendedor)]])</f>
        <v>0</v>
      </c>
      <c r="M18" s="2">
        <f>TB_Vendas[[#This Row],[Preço Unitário]]*TB_Vendas[[#This Row],[Qtd]]</f>
        <v>249.9</v>
      </c>
      <c r="N18" s="1" t="s">
        <v>117</v>
      </c>
    </row>
    <row r="19" spans="1:14">
      <c r="A19" s="4">
        <f>MONTH(TB_Vendas[[#This Row],[Data]])</f>
        <v>2</v>
      </c>
      <c r="B19" s="4" t="str">
        <f>PROPER(TEXT(DATE(,TB_Vendas[[#This Row],[Nº]],1),"Mmm"))</f>
        <v>Fev</v>
      </c>
      <c r="C19" s="3">
        <v>44978</v>
      </c>
      <c r="D19" s="4" t="s">
        <v>44</v>
      </c>
      <c r="E19" s="4" t="str">
        <f>_xlfn.XLOOKUP(TB_Vendas[[#This Row],[Código]],TB_Produtos[Código],TB_Produtos[Categoria])</f>
        <v>Vestuário</v>
      </c>
      <c r="F19" s="1">
        <v>2</v>
      </c>
      <c r="G19" s="7">
        <f>VLOOKUP(TB_Vendas[[#This Row],[Código]],Produtos!$B$6:$G$66,6,0)</f>
        <v>39.9</v>
      </c>
      <c r="H19" s="1">
        <f>_xlfn.XMATCH(TB_Vendas[[#This Row],[Categoria]],Desc_Categorias,0)</f>
        <v>3</v>
      </c>
      <c r="I19" s="43">
        <f>VLOOKUP(TB_Vendas[[#This Row],[Qtd]],Desc_TabelaToda,TB_Vendas[[#This Row],[Indice]],TRUE)</f>
        <v>0.15</v>
      </c>
      <c r="J19" s="43" cm="1">
        <f t="array" ref="J19">INDEX(Desc_TabelaToda,MATCH(TB_Vendas[[#This Row],[Qtd]],Desc_Quantidades,1),MATCH(_xlfn.XLOOKUP(TB_Vendas[[#This Row],[Código]],TB_Produtos[[#All],[Código]],TB_Produtos[[#All],[Categoria]]),Desc_Categorias,0))</f>
        <v>0.15</v>
      </c>
      <c r="K19" s="43">
        <f>_xlfn.XLOOKUP(TB_Vendas[[#This Row],[Vendedor]],Vendedores!$A$5:$A$9,Vendedores!$D$5:$D$9)</f>
        <v>0.2</v>
      </c>
      <c r="L19" s="43">
        <f>IF(TB_Vendas[[#This Row],[Desconto 
(Diretão)]]&lt;=TB_Vendas[[#This Row],[Desconto 
(Vendedor)]],TB_Vendas[[#This Row],[Desconto 
(Diretão)]],TB_Vendas[[#This Row],[Desconto 
(Vendedor)]])</f>
        <v>0.15</v>
      </c>
      <c r="M19" s="2">
        <f>TB_Vendas[[#This Row],[Preço Unitário]]*TB_Vendas[[#This Row],[Qtd]]</f>
        <v>79.8</v>
      </c>
      <c r="N19" s="1" t="s">
        <v>117</v>
      </c>
    </row>
    <row r="20" spans="1:14">
      <c r="A20" s="4">
        <f>MONTH(TB_Vendas[[#This Row],[Data]])</f>
        <v>2</v>
      </c>
      <c r="B20" s="4" t="str">
        <f>PROPER(TEXT(DATE(,TB_Vendas[[#This Row],[Nº]],1),"Mmm"))</f>
        <v>Fev</v>
      </c>
      <c r="C20" s="3">
        <v>44981</v>
      </c>
      <c r="D20" s="4" t="s">
        <v>91</v>
      </c>
      <c r="E20" s="4" t="str">
        <f>_xlfn.XLOOKUP(TB_Vendas[[#This Row],[Código]],TB_Produtos[Código],TB_Produtos[Categoria])</f>
        <v>Vestuário</v>
      </c>
      <c r="F20" s="1">
        <v>4</v>
      </c>
      <c r="G20" s="7">
        <f>VLOOKUP(TB_Vendas[[#This Row],[Código]],Produtos!$B$6:$G$66,6,0)</f>
        <v>289.89999999999998</v>
      </c>
      <c r="H20" s="1">
        <f>_xlfn.XMATCH(TB_Vendas[[#This Row],[Categoria]],Desc_Categorias,0)</f>
        <v>3</v>
      </c>
      <c r="I20" s="43">
        <f>VLOOKUP(TB_Vendas[[#This Row],[Qtd]],Desc_TabelaToda,TB_Vendas[[#This Row],[Indice]],TRUE)</f>
        <v>0.2</v>
      </c>
      <c r="J20" s="43" cm="1">
        <f t="array" ref="J20">INDEX(Desc_TabelaToda,MATCH(TB_Vendas[[#This Row],[Qtd]],Desc_Quantidades,1),MATCH(_xlfn.XLOOKUP(TB_Vendas[[#This Row],[Código]],TB_Produtos[[#All],[Código]],TB_Produtos[[#All],[Categoria]]),Desc_Categorias,0))</f>
        <v>0.2</v>
      </c>
      <c r="K20" s="43">
        <f>_xlfn.XLOOKUP(TB_Vendas[[#This Row],[Vendedor]],Vendedores!$A$5:$A$9,Vendedores!$D$5:$D$9)</f>
        <v>0.2</v>
      </c>
      <c r="L20" s="43">
        <f>IF(TB_Vendas[[#This Row],[Desconto 
(Diretão)]]&lt;=TB_Vendas[[#This Row],[Desconto 
(Vendedor)]],TB_Vendas[[#This Row],[Desconto 
(Diretão)]],TB_Vendas[[#This Row],[Desconto 
(Vendedor)]])</f>
        <v>0.2</v>
      </c>
      <c r="M20" s="2">
        <f>TB_Vendas[[#This Row],[Preço Unitário]]*TB_Vendas[[#This Row],[Qtd]]</f>
        <v>1159.5999999999999</v>
      </c>
      <c r="N20" s="1" t="s">
        <v>117</v>
      </c>
    </row>
    <row r="21" spans="1:14">
      <c r="A21" s="4">
        <f>MONTH(TB_Vendas[[#This Row],[Data]])</f>
        <v>2</v>
      </c>
      <c r="B21" s="4" t="str">
        <f>PROPER(TEXT(DATE(,TB_Vendas[[#This Row],[Nº]],1),"Mmm"))</f>
        <v>Fev</v>
      </c>
      <c r="C21" s="3">
        <v>44982</v>
      </c>
      <c r="D21" s="4" t="s">
        <v>111</v>
      </c>
      <c r="E21" s="4" t="str">
        <f>_xlfn.XLOOKUP(TB_Vendas[[#This Row],[Código]],TB_Produtos[Código],TB_Produtos[Categoria])</f>
        <v>Vestuário</v>
      </c>
      <c r="F21" s="1">
        <v>3</v>
      </c>
      <c r="G21" s="7">
        <f>VLOOKUP(TB_Vendas[[#This Row],[Código]],Produtos!$B$6:$G$66,6,0)</f>
        <v>180</v>
      </c>
      <c r="H21" s="1">
        <f>_xlfn.XMATCH(TB_Vendas[[#This Row],[Categoria]],Desc_Categorias,0)</f>
        <v>3</v>
      </c>
      <c r="I21" s="43">
        <f>VLOOKUP(TB_Vendas[[#This Row],[Qtd]],Desc_TabelaToda,TB_Vendas[[#This Row],[Indice]],TRUE)</f>
        <v>0.2</v>
      </c>
      <c r="J21" s="43" cm="1">
        <f t="array" ref="J21">INDEX(Desc_TabelaToda,MATCH(TB_Vendas[[#This Row],[Qtd]],Desc_Quantidades,1),MATCH(_xlfn.XLOOKUP(TB_Vendas[[#This Row],[Código]],TB_Produtos[[#All],[Código]],TB_Produtos[[#All],[Categoria]]),Desc_Categorias,0))</f>
        <v>0.2</v>
      </c>
      <c r="K21" s="43">
        <f>_xlfn.XLOOKUP(TB_Vendas[[#This Row],[Vendedor]],Vendedores!$A$5:$A$9,Vendedores!$D$5:$D$9)</f>
        <v>0.15</v>
      </c>
      <c r="L21" s="43">
        <f>IF(TB_Vendas[[#This Row],[Desconto 
(Diretão)]]&lt;=TB_Vendas[[#This Row],[Desconto 
(Vendedor)]],TB_Vendas[[#This Row],[Desconto 
(Diretão)]],TB_Vendas[[#This Row],[Desconto 
(Vendedor)]])</f>
        <v>0.15</v>
      </c>
      <c r="M21" s="2">
        <f>TB_Vendas[[#This Row],[Preço Unitário]]*TB_Vendas[[#This Row],[Qtd]]</f>
        <v>540</v>
      </c>
      <c r="N21" s="1" t="s">
        <v>115</v>
      </c>
    </row>
    <row r="22" spans="1:14">
      <c r="A22" s="4">
        <f>MONTH(TB_Vendas[[#This Row],[Data]])</f>
        <v>2</v>
      </c>
      <c r="B22" s="4" t="str">
        <f>PROPER(TEXT(DATE(,TB_Vendas[[#This Row],[Nº]],1),"Mmm"))</f>
        <v>Fev</v>
      </c>
      <c r="C22" s="3">
        <v>44983</v>
      </c>
      <c r="D22" s="4" t="s">
        <v>97</v>
      </c>
      <c r="E22" s="4" t="str">
        <f>_xlfn.XLOOKUP(TB_Vendas[[#This Row],[Código]],TB_Produtos[Código],TB_Produtos[Categoria])</f>
        <v>Vestuário</v>
      </c>
      <c r="F22" s="1">
        <v>2</v>
      </c>
      <c r="G22" s="7">
        <f>VLOOKUP(TB_Vendas[[#This Row],[Código]],Produtos!$B$6:$G$66,6,0)</f>
        <v>32.9</v>
      </c>
      <c r="H22" s="1">
        <f>_xlfn.XMATCH(TB_Vendas[[#This Row],[Categoria]],Desc_Categorias,0)</f>
        <v>3</v>
      </c>
      <c r="I22" s="43">
        <f>VLOOKUP(TB_Vendas[[#This Row],[Qtd]],Desc_TabelaToda,TB_Vendas[[#This Row],[Indice]],TRUE)</f>
        <v>0.15</v>
      </c>
      <c r="J22" s="43" cm="1">
        <f t="array" ref="J22">INDEX(Desc_TabelaToda,MATCH(TB_Vendas[[#This Row],[Qtd]],Desc_Quantidades,1),MATCH(_xlfn.XLOOKUP(TB_Vendas[[#This Row],[Código]],TB_Produtos[[#All],[Código]],TB_Produtos[[#All],[Categoria]]),Desc_Categorias,0))</f>
        <v>0.15</v>
      </c>
      <c r="K22" s="43">
        <f>_xlfn.XLOOKUP(TB_Vendas[[#This Row],[Vendedor]],Vendedores!$A$5:$A$9,Vendedores!$D$5:$D$9)</f>
        <v>0.2</v>
      </c>
      <c r="L22" s="43">
        <f>IF(TB_Vendas[[#This Row],[Desconto 
(Diretão)]]&lt;=TB_Vendas[[#This Row],[Desconto 
(Vendedor)]],TB_Vendas[[#This Row],[Desconto 
(Diretão)]],TB_Vendas[[#This Row],[Desconto 
(Vendedor)]])</f>
        <v>0.15</v>
      </c>
      <c r="M22" s="2">
        <f>TB_Vendas[[#This Row],[Preço Unitário]]*TB_Vendas[[#This Row],[Qtd]]</f>
        <v>65.8</v>
      </c>
      <c r="N22" s="1" t="s">
        <v>114</v>
      </c>
    </row>
    <row r="23" spans="1:14">
      <c r="A23" s="4">
        <f>MONTH(TB_Vendas[[#This Row],[Data]])</f>
        <v>3</v>
      </c>
      <c r="B23" s="4" t="str">
        <f>PROPER(TEXT(DATE(,TB_Vendas[[#This Row],[Nº]],1),"Mmm"))</f>
        <v>Mar</v>
      </c>
      <c r="C23" s="3">
        <v>44986</v>
      </c>
      <c r="D23" s="4" t="s">
        <v>60</v>
      </c>
      <c r="E23" s="4" t="str">
        <f>_xlfn.XLOOKUP(TB_Vendas[[#This Row],[Código]],TB_Produtos[Código],TB_Produtos[Categoria])</f>
        <v>Calçado</v>
      </c>
      <c r="F23" s="1">
        <v>3</v>
      </c>
      <c r="G23" s="7">
        <f>VLOOKUP(TB_Vendas[[#This Row],[Código]],Produtos!$B$6:$G$66,6,0)</f>
        <v>255</v>
      </c>
      <c r="H23" s="1">
        <f>_xlfn.XMATCH(TB_Vendas[[#This Row],[Categoria]],Desc_Categorias,0)</f>
        <v>4</v>
      </c>
      <c r="I23" s="43">
        <f>VLOOKUP(TB_Vendas[[#This Row],[Qtd]],Desc_TabelaToda,TB_Vendas[[#This Row],[Indice]],TRUE)</f>
        <v>0.15</v>
      </c>
      <c r="J23" s="43" cm="1">
        <f t="array" ref="J23">INDEX(Desc_TabelaToda,MATCH(TB_Vendas[[#This Row],[Qtd]],Desc_Quantidades,1),MATCH(_xlfn.XLOOKUP(TB_Vendas[[#This Row],[Código]],TB_Produtos[[#All],[Código]],TB_Produtos[[#All],[Categoria]]),Desc_Categorias,0))</f>
        <v>0.15</v>
      </c>
      <c r="K23" s="43">
        <f>_xlfn.XLOOKUP(TB_Vendas[[#This Row],[Vendedor]],Vendedores!$A$5:$A$9,Vendedores!$D$5:$D$9)</f>
        <v>0.2</v>
      </c>
      <c r="L23" s="43">
        <f>IF(TB_Vendas[[#This Row],[Desconto 
(Diretão)]]&lt;=TB_Vendas[[#This Row],[Desconto 
(Vendedor)]],TB_Vendas[[#This Row],[Desconto 
(Diretão)]],TB_Vendas[[#This Row],[Desconto 
(Vendedor)]])</f>
        <v>0.15</v>
      </c>
      <c r="M23" s="2">
        <f>TB_Vendas[[#This Row],[Preço Unitário]]*TB_Vendas[[#This Row],[Qtd]]</f>
        <v>765</v>
      </c>
      <c r="N23" s="1" t="s">
        <v>117</v>
      </c>
    </row>
    <row r="24" spans="1:14">
      <c r="A24" s="4">
        <f>MONTH(TB_Vendas[[#This Row],[Data]])</f>
        <v>3</v>
      </c>
      <c r="B24" s="4" t="str">
        <f>PROPER(TEXT(DATE(,TB_Vendas[[#This Row],[Nº]],1),"Mmm"))</f>
        <v>Mar</v>
      </c>
      <c r="C24" s="3">
        <v>44986</v>
      </c>
      <c r="D24" s="4" t="s">
        <v>69</v>
      </c>
      <c r="E24" s="4" t="str">
        <f>_xlfn.XLOOKUP(TB_Vendas[[#This Row],[Código]],TB_Produtos[Código],TB_Produtos[Categoria])</f>
        <v>Vestuário</v>
      </c>
      <c r="F24" s="1">
        <v>1</v>
      </c>
      <c r="G24" s="7">
        <f>VLOOKUP(TB_Vendas[[#This Row],[Código]],Produtos!$B$6:$G$66,6,0)</f>
        <v>142.9</v>
      </c>
      <c r="H24" s="1">
        <f>_xlfn.XMATCH(TB_Vendas[[#This Row],[Categoria]],Desc_Categorias,0)</f>
        <v>3</v>
      </c>
      <c r="I24" s="43">
        <f>VLOOKUP(TB_Vendas[[#This Row],[Qtd]],Desc_TabelaToda,TB_Vendas[[#This Row],[Indice]],TRUE)</f>
        <v>0.1</v>
      </c>
      <c r="J24" s="43" cm="1">
        <f t="array" ref="J24">INDEX(Desc_TabelaToda,MATCH(TB_Vendas[[#This Row],[Qtd]],Desc_Quantidades,1),MATCH(_xlfn.XLOOKUP(TB_Vendas[[#This Row],[Código]],TB_Produtos[[#All],[Código]],TB_Produtos[[#All],[Categoria]]),Desc_Categorias,0))</f>
        <v>0.1</v>
      </c>
      <c r="K24" s="43">
        <f>_xlfn.XLOOKUP(TB_Vendas[[#This Row],[Vendedor]],Vendedores!$A$5:$A$9,Vendedores!$D$5:$D$9)</f>
        <v>0.2</v>
      </c>
      <c r="L24" s="43">
        <f>IF(TB_Vendas[[#This Row],[Desconto 
(Diretão)]]&lt;=TB_Vendas[[#This Row],[Desconto 
(Vendedor)]],TB_Vendas[[#This Row],[Desconto 
(Diretão)]],TB_Vendas[[#This Row],[Desconto 
(Vendedor)]])</f>
        <v>0.1</v>
      </c>
      <c r="M24" s="2">
        <f>TB_Vendas[[#This Row],[Preço Unitário]]*TB_Vendas[[#This Row],[Qtd]]</f>
        <v>142.9</v>
      </c>
      <c r="N24" s="1" t="s">
        <v>114</v>
      </c>
    </row>
    <row r="25" spans="1:14">
      <c r="A25" s="4">
        <f>MONTH(TB_Vendas[[#This Row],[Data]])</f>
        <v>3</v>
      </c>
      <c r="B25" s="4" t="str">
        <f>PROPER(TEXT(DATE(,TB_Vendas[[#This Row],[Nº]],1),"Mmm"))</f>
        <v>Mar</v>
      </c>
      <c r="C25" s="3">
        <v>44987</v>
      </c>
      <c r="D25" s="4" t="s">
        <v>40</v>
      </c>
      <c r="E25" s="4" t="str">
        <f>_xlfn.XLOOKUP(TB_Vendas[[#This Row],[Código]],TB_Produtos[Código],TB_Produtos[Categoria])</f>
        <v>Vestuário</v>
      </c>
      <c r="F25" s="1">
        <v>4</v>
      </c>
      <c r="G25" s="7">
        <f>VLOOKUP(TB_Vendas[[#This Row],[Código]],Produtos!$B$6:$G$66,6,0)</f>
        <v>92.9</v>
      </c>
      <c r="H25" s="1">
        <f>_xlfn.XMATCH(TB_Vendas[[#This Row],[Categoria]],Desc_Categorias,0)</f>
        <v>3</v>
      </c>
      <c r="I25" s="43">
        <f>VLOOKUP(TB_Vendas[[#This Row],[Qtd]],Desc_TabelaToda,TB_Vendas[[#This Row],[Indice]],TRUE)</f>
        <v>0.2</v>
      </c>
      <c r="J25" s="43" cm="1">
        <f t="array" ref="J25">INDEX(Desc_TabelaToda,MATCH(TB_Vendas[[#This Row],[Qtd]],Desc_Quantidades,1),MATCH(_xlfn.XLOOKUP(TB_Vendas[[#This Row],[Código]],TB_Produtos[[#All],[Código]],TB_Produtos[[#All],[Categoria]]),Desc_Categorias,0))</f>
        <v>0.2</v>
      </c>
      <c r="K25" s="43">
        <f>_xlfn.XLOOKUP(TB_Vendas[[#This Row],[Vendedor]],Vendedores!$A$5:$A$9,Vendedores!$D$5:$D$9)</f>
        <v>0.1</v>
      </c>
      <c r="L25" s="43">
        <f>IF(TB_Vendas[[#This Row],[Desconto 
(Diretão)]]&lt;=TB_Vendas[[#This Row],[Desconto 
(Vendedor)]],TB_Vendas[[#This Row],[Desconto 
(Diretão)]],TB_Vendas[[#This Row],[Desconto 
(Vendedor)]])</f>
        <v>0.1</v>
      </c>
      <c r="M25" s="2">
        <f>TB_Vendas[[#This Row],[Preço Unitário]]*TB_Vendas[[#This Row],[Qtd]]</f>
        <v>371.6</v>
      </c>
      <c r="N25" s="1" t="s">
        <v>116</v>
      </c>
    </row>
    <row r="26" spans="1:14">
      <c r="A26" s="4">
        <f>MONTH(TB_Vendas[[#This Row],[Data]])</f>
        <v>3</v>
      </c>
      <c r="B26" s="4" t="str">
        <f>PROPER(TEXT(DATE(,TB_Vendas[[#This Row],[Nº]],1),"Mmm"))</f>
        <v>Mar</v>
      </c>
      <c r="C26" s="3">
        <v>44988</v>
      </c>
      <c r="D26" s="4" t="s">
        <v>86</v>
      </c>
      <c r="E26" s="4" t="str">
        <f>_xlfn.XLOOKUP(TB_Vendas[[#This Row],[Código]],TB_Produtos[Código],TB_Produtos[Categoria])</f>
        <v>Vestuário</v>
      </c>
      <c r="F26" s="1">
        <v>2</v>
      </c>
      <c r="G26" s="7">
        <f>VLOOKUP(TB_Vendas[[#This Row],[Código]],Produtos!$B$6:$G$66,6,0)</f>
        <v>54.9</v>
      </c>
      <c r="H26" s="1">
        <f>_xlfn.XMATCH(TB_Vendas[[#This Row],[Categoria]],Desc_Categorias,0)</f>
        <v>3</v>
      </c>
      <c r="I26" s="43">
        <f>VLOOKUP(TB_Vendas[[#This Row],[Qtd]],Desc_TabelaToda,TB_Vendas[[#This Row],[Indice]],TRUE)</f>
        <v>0.15</v>
      </c>
      <c r="J26" s="43" cm="1">
        <f t="array" ref="J26">INDEX(Desc_TabelaToda,MATCH(TB_Vendas[[#This Row],[Qtd]],Desc_Quantidades,1),MATCH(_xlfn.XLOOKUP(TB_Vendas[[#This Row],[Código]],TB_Produtos[[#All],[Código]],TB_Produtos[[#All],[Categoria]]),Desc_Categorias,0))</f>
        <v>0.15</v>
      </c>
      <c r="K26" s="43">
        <f>_xlfn.XLOOKUP(TB_Vendas[[#This Row],[Vendedor]],Vendedores!$A$5:$A$9,Vendedores!$D$5:$D$9)</f>
        <v>0.2</v>
      </c>
      <c r="L26" s="43">
        <f>IF(TB_Vendas[[#This Row],[Desconto 
(Diretão)]]&lt;=TB_Vendas[[#This Row],[Desconto 
(Vendedor)]],TB_Vendas[[#This Row],[Desconto 
(Diretão)]],TB_Vendas[[#This Row],[Desconto 
(Vendedor)]])</f>
        <v>0.15</v>
      </c>
      <c r="M26" s="2">
        <f>TB_Vendas[[#This Row],[Preço Unitário]]*TB_Vendas[[#This Row],[Qtd]]</f>
        <v>109.8</v>
      </c>
      <c r="N26" s="1" t="s">
        <v>114</v>
      </c>
    </row>
    <row r="27" spans="1:14">
      <c r="A27" s="4">
        <f>MONTH(TB_Vendas[[#This Row],[Data]])</f>
        <v>3</v>
      </c>
      <c r="B27" s="4" t="str">
        <f>PROPER(TEXT(DATE(,TB_Vendas[[#This Row],[Nº]],1),"Mmm"))</f>
        <v>Mar</v>
      </c>
      <c r="C27" s="3">
        <v>44989</v>
      </c>
      <c r="D27" s="4" t="s">
        <v>69</v>
      </c>
      <c r="E27" s="4" t="str">
        <f>_xlfn.XLOOKUP(TB_Vendas[[#This Row],[Código]],TB_Produtos[Código],TB_Produtos[Categoria])</f>
        <v>Vestuário</v>
      </c>
      <c r="F27" s="1">
        <v>3</v>
      </c>
      <c r="G27" s="7">
        <f>VLOOKUP(TB_Vendas[[#This Row],[Código]],Produtos!$B$6:$G$66,6,0)</f>
        <v>142.9</v>
      </c>
      <c r="H27" s="1">
        <f>_xlfn.XMATCH(TB_Vendas[[#This Row],[Categoria]],Desc_Categorias,0)</f>
        <v>3</v>
      </c>
      <c r="I27" s="43">
        <f>VLOOKUP(TB_Vendas[[#This Row],[Qtd]],Desc_TabelaToda,TB_Vendas[[#This Row],[Indice]],TRUE)</f>
        <v>0.2</v>
      </c>
      <c r="J27" s="43" cm="1">
        <f t="array" ref="J27">INDEX(Desc_TabelaToda,MATCH(TB_Vendas[[#This Row],[Qtd]],Desc_Quantidades,1),MATCH(_xlfn.XLOOKUP(TB_Vendas[[#This Row],[Código]],TB_Produtos[[#All],[Código]],TB_Produtos[[#All],[Categoria]]),Desc_Categorias,0))</f>
        <v>0.2</v>
      </c>
      <c r="K27" s="43">
        <f>_xlfn.XLOOKUP(TB_Vendas[[#This Row],[Vendedor]],Vendedores!$A$5:$A$9,Vendedores!$D$5:$D$9)</f>
        <v>0.15</v>
      </c>
      <c r="L27" s="43">
        <f>IF(TB_Vendas[[#This Row],[Desconto 
(Diretão)]]&lt;=TB_Vendas[[#This Row],[Desconto 
(Vendedor)]],TB_Vendas[[#This Row],[Desconto 
(Diretão)]],TB_Vendas[[#This Row],[Desconto 
(Vendedor)]])</f>
        <v>0.15</v>
      </c>
      <c r="M27" s="2">
        <f>TB_Vendas[[#This Row],[Preço Unitário]]*TB_Vendas[[#This Row],[Qtd]]</f>
        <v>428.70000000000005</v>
      </c>
      <c r="N27" s="1" t="s">
        <v>115</v>
      </c>
    </row>
    <row r="28" spans="1:14">
      <c r="A28" s="4">
        <f>MONTH(TB_Vendas[[#This Row],[Data]])</f>
        <v>3</v>
      </c>
      <c r="B28" s="4" t="str">
        <f>PROPER(TEXT(DATE(,TB_Vendas[[#This Row],[Nº]],1),"Mmm"))</f>
        <v>Mar</v>
      </c>
      <c r="C28" s="3">
        <v>44994</v>
      </c>
      <c r="D28" s="4" t="s">
        <v>58</v>
      </c>
      <c r="E28" s="4" t="str">
        <f>_xlfn.XLOOKUP(TB_Vendas[[#This Row],[Código]],TB_Produtos[Código],TB_Produtos[Categoria])</f>
        <v>Acessórios</v>
      </c>
      <c r="F28" s="1">
        <v>2</v>
      </c>
      <c r="G28" s="7">
        <f>VLOOKUP(TB_Vendas[[#This Row],[Código]],Produtos!$B$6:$G$66,6,0)</f>
        <v>120</v>
      </c>
      <c r="H28" s="1">
        <f>_xlfn.XMATCH(TB_Vendas[[#This Row],[Categoria]],Desc_Categorias,0)</f>
        <v>2</v>
      </c>
      <c r="I28" s="43">
        <f>VLOOKUP(TB_Vendas[[#This Row],[Qtd]],Desc_TabelaToda,TB_Vendas[[#This Row],[Indice]],TRUE)</f>
        <v>0.05</v>
      </c>
      <c r="J28" s="43" cm="1">
        <f t="array" ref="J28">INDEX(Desc_TabelaToda,MATCH(TB_Vendas[[#This Row],[Qtd]],Desc_Quantidades,1),MATCH(_xlfn.XLOOKUP(TB_Vendas[[#This Row],[Código]],TB_Produtos[[#All],[Código]],TB_Produtos[[#All],[Categoria]]),Desc_Categorias,0))</f>
        <v>0.05</v>
      </c>
      <c r="K28" s="43">
        <f>_xlfn.XLOOKUP(TB_Vendas[[#This Row],[Vendedor]],Vendedores!$A$5:$A$9,Vendedores!$D$5:$D$9)</f>
        <v>0.15</v>
      </c>
      <c r="L28" s="43">
        <f>IF(TB_Vendas[[#This Row],[Desconto 
(Diretão)]]&lt;=TB_Vendas[[#This Row],[Desconto 
(Vendedor)]],TB_Vendas[[#This Row],[Desconto 
(Diretão)]],TB_Vendas[[#This Row],[Desconto 
(Vendedor)]])</f>
        <v>0.05</v>
      </c>
      <c r="M28" s="2">
        <f>TB_Vendas[[#This Row],[Preço Unitário]]*TB_Vendas[[#This Row],[Qtd]]</f>
        <v>240</v>
      </c>
      <c r="N28" s="1" t="s">
        <v>115</v>
      </c>
    </row>
    <row r="29" spans="1:14">
      <c r="A29" s="4">
        <f>MONTH(TB_Vendas[[#This Row],[Data]])</f>
        <v>3</v>
      </c>
      <c r="B29" s="4" t="str">
        <f>PROPER(TEXT(DATE(,TB_Vendas[[#This Row],[Nº]],1),"Mmm"))</f>
        <v>Mar</v>
      </c>
      <c r="C29" s="3">
        <v>44999</v>
      </c>
      <c r="D29" s="4" t="s">
        <v>32</v>
      </c>
      <c r="E29" s="4" t="str">
        <f>_xlfn.XLOOKUP(TB_Vendas[[#This Row],[Código]],TB_Produtos[Código],TB_Produtos[Categoria])</f>
        <v>Vestuário</v>
      </c>
      <c r="F29" s="1">
        <v>1</v>
      </c>
      <c r="G29" s="7">
        <f>VLOOKUP(TB_Vendas[[#This Row],[Código]],Produtos!$B$6:$G$66,6,0)</f>
        <v>65.900000000000006</v>
      </c>
      <c r="H29" s="1">
        <f>_xlfn.XMATCH(TB_Vendas[[#This Row],[Categoria]],Desc_Categorias,0)</f>
        <v>3</v>
      </c>
      <c r="I29" s="43">
        <f>VLOOKUP(TB_Vendas[[#This Row],[Qtd]],Desc_TabelaToda,TB_Vendas[[#This Row],[Indice]],TRUE)</f>
        <v>0.1</v>
      </c>
      <c r="J29" s="43" cm="1">
        <f t="array" ref="J29">INDEX(Desc_TabelaToda,MATCH(TB_Vendas[[#This Row],[Qtd]],Desc_Quantidades,1),MATCH(_xlfn.XLOOKUP(TB_Vendas[[#This Row],[Código]],TB_Produtos[[#All],[Código]],TB_Produtos[[#All],[Categoria]]),Desc_Categorias,0))</f>
        <v>0.1</v>
      </c>
      <c r="K29" s="43">
        <f>_xlfn.XLOOKUP(TB_Vendas[[#This Row],[Vendedor]],Vendedores!$A$5:$A$9,Vendedores!$D$5:$D$9)</f>
        <v>0.2</v>
      </c>
      <c r="L29" s="43">
        <f>IF(TB_Vendas[[#This Row],[Desconto 
(Diretão)]]&lt;=TB_Vendas[[#This Row],[Desconto 
(Vendedor)]],TB_Vendas[[#This Row],[Desconto 
(Diretão)]],TB_Vendas[[#This Row],[Desconto 
(Vendedor)]])</f>
        <v>0.1</v>
      </c>
      <c r="M29" s="2">
        <f>TB_Vendas[[#This Row],[Preço Unitário]]*TB_Vendas[[#This Row],[Qtd]]</f>
        <v>65.900000000000006</v>
      </c>
      <c r="N29" s="1" t="s">
        <v>117</v>
      </c>
    </row>
    <row r="30" spans="1:14">
      <c r="A30" s="4">
        <f>MONTH(TB_Vendas[[#This Row],[Data]])</f>
        <v>3</v>
      </c>
      <c r="B30" s="4" t="str">
        <f>PROPER(TEXT(DATE(,TB_Vendas[[#This Row],[Nº]],1),"Mmm"))</f>
        <v>Mar</v>
      </c>
      <c r="C30" s="3">
        <v>45004</v>
      </c>
      <c r="D30" s="4" t="s">
        <v>95</v>
      </c>
      <c r="E30" s="4" t="str">
        <f>_xlfn.XLOOKUP(TB_Vendas[[#This Row],[Código]],TB_Produtos[Código],TB_Produtos[Categoria])</f>
        <v>Vestuário</v>
      </c>
      <c r="F30" s="1">
        <v>5</v>
      </c>
      <c r="G30" s="7">
        <f>VLOOKUP(TB_Vendas[[#This Row],[Código]],Produtos!$B$6:$G$66,6,0)</f>
        <v>32.9</v>
      </c>
      <c r="H30" s="1">
        <f>_xlfn.XMATCH(TB_Vendas[[#This Row],[Categoria]],Desc_Categorias,0)</f>
        <v>3</v>
      </c>
      <c r="I30" s="43">
        <f>VLOOKUP(TB_Vendas[[#This Row],[Qtd]],Desc_TabelaToda,TB_Vendas[[#This Row],[Indice]],TRUE)</f>
        <v>0.25</v>
      </c>
      <c r="J30" s="43" cm="1">
        <f t="array" ref="J30">INDEX(Desc_TabelaToda,MATCH(TB_Vendas[[#This Row],[Qtd]],Desc_Quantidades,1),MATCH(_xlfn.XLOOKUP(TB_Vendas[[#This Row],[Código]],TB_Produtos[[#All],[Código]],TB_Produtos[[#All],[Categoria]]),Desc_Categorias,0))</f>
        <v>0.25</v>
      </c>
      <c r="K30" s="43">
        <f>_xlfn.XLOOKUP(TB_Vendas[[#This Row],[Vendedor]],Vendedores!$A$5:$A$9,Vendedores!$D$5:$D$9)</f>
        <v>0.15</v>
      </c>
      <c r="L30" s="43">
        <f>IF(TB_Vendas[[#This Row],[Desconto 
(Diretão)]]&lt;=TB_Vendas[[#This Row],[Desconto 
(Vendedor)]],TB_Vendas[[#This Row],[Desconto 
(Diretão)]],TB_Vendas[[#This Row],[Desconto 
(Vendedor)]])</f>
        <v>0.15</v>
      </c>
      <c r="M30" s="2">
        <f>TB_Vendas[[#This Row],[Preço Unitário]]*TB_Vendas[[#This Row],[Qtd]]</f>
        <v>164.5</v>
      </c>
      <c r="N30" s="1" t="s">
        <v>118</v>
      </c>
    </row>
    <row r="31" spans="1:14">
      <c r="A31" s="4">
        <f>MONTH(TB_Vendas[[#This Row],[Data]])</f>
        <v>3</v>
      </c>
      <c r="B31" s="4" t="str">
        <f>PROPER(TEXT(DATE(,TB_Vendas[[#This Row],[Nº]],1),"Mmm"))</f>
        <v>Mar</v>
      </c>
      <c r="C31" s="3">
        <v>45006</v>
      </c>
      <c r="D31" s="4" t="s">
        <v>110</v>
      </c>
      <c r="E31" s="4" t="str">
        <f>_xlfn.XLOOKUP(TB_Vendas[[#This Row],[Código]],TB_Produtos[Código],TB_Produtos[Categoria])</f>
        <v>Vestuário</v>
      </c>
      <c r="F31" s="1">
        <v>2</v>
      </c>
      <c r="G31" s="7">
        <f>VLOOKUP(TB_Vendas[[#This Row],[Código]],Produtos!$B$6:$G$66,6,0)</f>
        <v>180</v>
      </c>
      <c r="H31" s="1">
        <f>_xlfn.XMATCH(TB_Vendas[[#This Row],[Categoria]],Desc_Categorias,0)</f>
        <v>3</v>
      </c>
      <c r="I31" s="43">
        <f>VLOOKUP(TB_Vendas[[#This Row],[Qtd]],Desc_TabelaToda,TB_Vendas[[#This Row],[Indice]],TRUE)</f>
        <v>0.15</v>
      </c>
      <c r="J31" s="43" cm="1">
        <f t="array" ref="J31">INDEX(Desc_TabelaToda,MATCH(TB_Vendas[[#This Row],[Qtd]],Desc_Quantidades,1),MATCH(_xlfn.XLOOKUP(TB_Vendas[[#This Row],[Código]],TB_Produtos[[#All],[Código]],TB_Produtos[[#All],[Categoria]]),Desc_Categorias,0))</f>
        <v>0.15</v>
      </c>
      <c r="K31" s="43">
        <f>_xlfn.XLOOKUP(TB_Vendas[[#This Row],[Vendedor]],Vendedores!$A$5:$A$9,Vendedores!$D$5:$D$9)</f>
        <v>0.15</v>
      </c>
      <c r="L31" s="43">
        <f>IF(TB_Vendas[[#This Row],[Desconto 
(Diretão)]]&lt;=TB_Vendas[[#This Row],[Desconto 
(Vendedor)]],TB_Vendas[[#This Row],[Desconto 
(Diretão)]],TB_Vendas[[#This Row],[Desconto 
(Vendedor)]])</f>
        <v>0.15</v>
      </c>
      <c r="M31" s="2">
        <f>TB_Vendas[[#This Row],[Preço Unitário]]*TB_Vendas[[#This Row],[Qtd]]</f>
        <v>360</v>
      </c>
      <c r="N31" s="1" t="s">
        <v>115</v>
      </c>
    </row>
    <row r="32" spans="1:14">
      <c r="A32" s="4">
        <f>MONTH(TB_Vendas[[#This Row],[Data]])</f>
        <v>3</v>
      </c>
      <c r="B32" s="4" t="str">
        <f>PROPER(TEXT(DATE(,TB_Vendas[[#This Row],[Nº]],1),"Mmm"))</f>
        <v>Mar</v>
      </c>
      <c r="C32" s="3">
        <v>45010</v>
      </c>
      <c r="D32" s="4" t="s">
        <v>57</v>
      </c>
      <c r="E32" s="4" t="str">
        <f>_xlfn.XLOOKUP(TB_Vendas[[#This Row],[Código]],TB_Produtos[Código],TB_Produtos[Categoria])</f>
        <v>Acessórios</v>
      </c>
      <c r="F32" s="1">
        <v>3</v>
      </c>
      <c r="G32" s="7">
        <f>VLOOKUP(TB_Vendas[[#This Row],[Código]],Produtos!$B$6:$G$66,6,0)</f>
        <v>349.9</v>
      </c>
      <c r="H32" s="1">
        <f>_xlfn.XMATCH(TB_Vendas[[#This Row],[Categoria]],Desc_Categorias,0)</f>
        <v>2</v>
      </c>
      <c r="I32" s="43">
        <f>VLOOKUP(TB_Vendas[[#This Row],[Qtd]],Desc_TabelaToda,TB_Vendas[[#This Row],[Indice]],TRUE)</f>
        <v>0.15</v>
      </c>
      <c r="J32" s="43" cm="1">
        <f t="array" ref="J32">INDEX(Desc_TabelaToda,MATCH(TB_Vendas[[#This Row],[Qtd]],Desc_Quantidades,1),MATCH(_xlfn.XLOOKUP(TB_Vendas[[#This Row],[Código]],TB_Produtos[[#All],[Código]],TB_Produtos[[#All],[Categoria]]),Desc_Categorias,0))</f>
        <v>0.15</v>
      </c>
      <c r="K32" s="43">
        <f>_xlfn.XLOOKUP(TB_Vendas[[#This Row],[Vendedor]],Vendedores!$A$5:$A$9,Vendedores!$D$5:$D$9)</f>
        <v>0.2</v>
      </c>
      <c r="L32" s="43">
        <f>IF(TB_Vendas[[#This Row],[Desconto 
(Diretão)]]&lt;=TB_Vendas[[#This Row],[Desconto 
(Vendedor)]],TB_Vendas[[#This Row],[Desconto 
(Diretão)]],TB_Vendas[[#This Row],[Desconto 
(Vendedor)]])</f>
        <v>0.15</v>
      </c>
      <c r="M32" s="2">
        <f>TB_Vendas[[#This Row],[Preço Unitário]]*TB_Vendas[[#This Row],[Qtd]]</f>
        <v>1049.6999999999998</v>
      </c>
      <c r="N32" s="1" t="s">
        <v>114</v>
      </c>
    </row>
    <row r="33" spans="1:14">
      <c r="A33" s="4">
        <f>MONTH(TB_Vendas[[#This Row],[Data]])</f>
        <v>4</v>
      </c>
      <c r="B33" s="4" t="str">
        <f>PROPER(TEXT(DATE(,TB_Vendas[[#This Row],[Nº]],1),"Mmm"))</f>
        <v>Abr</v>
      </c>
      <c r="C33" s="3">
        <v>45018</v>
      </c>
      <c r="D33" s="4" t="s">
        <v>89</v>
      </c>
      <c r="E33" s="4" t="str">
        <f>_xlfn.XLOOKUP(TB_Vendas[[#This Row],[Código]],TB_Produtos[Código],TB_Produtos[Categoria])</f>
        <v>Vestuário</v>
      </c>
      <c r="F33" s="1">
        <v>1</v>
      </c>
      <c r="G33" s="7">
        <f>VLOOKUP(TB_Vendas[[#This Row],[Código]],Produtos!$B$6:$G$66,6,0)</f>
        <v>72.5</v>
      </c>
      <c r="H33" s="1">
        <f>_xlfn.XMATCH(TB_Vendas[[#This Row],[Categoria]],Desc_Categorias,0)</f>
        <v>3</v>
      </c>
      <c r="I33" s="43">
        <f>VLOOKUP(TB_Vendas[[#This Row],[Qtd]],Desc_TabelaToda,TB_Vendas[[#This Row],[Indice]],TRUE)</f>
        <v>0.1</v>
      </c>
      <c r="J33" s="43" cm="1">
        <f t="array" ref="J33">INDEX(Desc_TabelaToda,MATCH(TB_Vendas[[#This Row],[Qtd]],Desc_Quantidades,1),MATCH(_xlfn.XLOOKUP(TB_Vendas[[#This Row],[Código]],TB_Produtos[[#All],[Código]],TB_Produtos[[#All],[Categoria]]),Desc_Categorias,0))</f>
        <v>0.1</v>
      </c>
      <c r="K33" s="43">
        <f>_xlfn.XLOOKUP(TB_Vendas[[#This Row],[Vendedor]],Vendedores!$A$5:$A$9,Vendedores!$D$5:$D$9)</f>
        <v>0.1</v>
      </c>
      <c r="L33" s="43">
        <f>IF(TB_Vendas[[#This Row],[Desconto 
(Diretão)]]&lt;=TB_Vendas[[#This Row],[Desconto 
(Vendedor)]],TB_Vendas[[#This Row],[Desconto 
(Diretão)]],TB_Vendas[[#This Row],[Desconto 
(Vendedor)]])</f>
        <v>0.1</v>
      </c>
      <c r="M33" s="2">
        <f>TB_Vendas[[#This Row],[Preço Unitário]]*TB_Vendas[[#This Row],[Qtd]]</f>
        <v>72.5</v>
      </c>
      <c r="N33" s="1" t="s">
        <v>116</v>
      </c>
    </row>
    <row r="34" spans="1:14">
      <c r="A34" s="4">
        <f>MONTH(TB_Vendas[[#This Row],[Data]])</f>
        <v>4</v>
      </c>
      <c r="B34" s="4" t="str">
        <f>PROPER(TEXT(DATE(,TB_Vendas[[#This Row],[Nº]],1),"Mmm"))</f>
        <v>Abr</v>
      </c>
      <c r="C34" s="3">
        <v>45020</v>
      </c>
      <c r="D34" s="4" t="s">
        <v>55</v>
      </c>
      <c r="E34" s="4" t="str">
        <f>_xlfn.XLOOKUP(TB_Vendas[[#This Row],[Código]],TB_Produtos[Código],TB_Produtos[Categoria])</f>
        <v>Vestuário</v>
      </c>
      <c r="F34" s="1">
        <v>4</v>
      </c>
      <c r="G34" s="7">
        <f>VLOOKUP(TB_Vendas[[#This Row],[Código]],Produtos!$B$6:$G$66,6,0)</f>
        <v>259.89999999999998</v>
      </c>
      <c r="H34" s="1">
        <f>_xlfn.XMATCH(TB_Vendas[[#This Row],[Categoria]],Desc_Categorias,0)</f>
        <v>3</v>
      </c>
      <c r="I34" s="43">
        <f>VLOOKUP(TB_Vendas[[#This Row],[Qtd]],Desc_TabelaToda,TB_Vendas[[#This Row],[Indice]],TRUE)</f>
        <v>0.2</v>
      </c>
      <c r="J34" s="43" cm="1">
        <f t="array" ref="J34">INDEX(Desc_TabelaToda,MATCH(TB_Vendas[[#This Row],[Qtd]],Desc_Quantidades,1),MATCH(_xlfn.XLOOKUP(TB_Vendas[[#This Row],[Código]],TB_Produtos[[#All],[Código]],TB_Produtos[[#All],[Categoria]]),Desc_Categorias,0))</f>
        <v>0.2</v>
      </c>
      <c r="K34" s="43">
        <f>_xlfn.XLOOKUP(TB_Vendas[[#This Row],[Vendedor]],Vendedores!$A$5:$A$9,Vendedores!$D$5:$D$9)</f>
        <v>0.2</v>
      </c>
      <c r="L34" s="43">
        <f>IF(TB_Vendas[[#This Row],[Desconto 
(Diretão)]]&lt;=TB_Vendas[[#This Row],[Desconto 
(Vendedor)]],TB_Vendas[[#This Row],[Desconto 
(Diretão)]],TB_Vendas[[#This Row],[Desconto 
(Vendedor)]])</f>
        <v>0.2</v>
      </c>
      <c r="M34" s="2">
        <f>TB_Vendas[[#This Row],[Preço Unitário]]*TB_Vendas[[#This Row],[Qtd]]</f>
        <v>1039.5999999999999</v>
      </c>
      <c r="N34" s="1" t="s">
        <v>114</v>
      </c>
    </row>
    <row r="35" spans="1:14">
      <c r="A35" s="4">
        <f>MONTH(TB_Vendas[[#This Row],[Data]])</f>
        <v>4</v>
      </c>
      <c r="B35" s="4" t="str">
        <f>PROPER(TEXT(DATE(,TB_Vendas[[#This Row],[Nº]],1),"Mmm"))</f>
        <v>Abr</v>
      </c>
      <c r="C35" s="3">
        <v>45024</v>
      </c>
      <c r="D35" s="4" t="s">
        <v>47</v>
      </c>
      <c r="E35" s="4" t="str">
        <f>_xlfn.XLOOKUP(TB_Vendas[[#This Row],[Código]],TB_Produtos[Código],TB_Produtos[Categoria])</f>
        <v>Vestuário</v>
      </c>
      <c r="F35" s="1">
        <v>3</v>
      </c>
      <c r="G35" s="7">
        <f>VLOOKUP(TB_Vendas[[#This Row],[Código]],Produtos!$B$6:$G$66,6,0)</f>
        <v>25.9</v>
      </c>
      <c r="H35" s="1">
        <f>_xlfn.XMATCH(TB_Vendas[[#This Row],[Categoria]],Desc_Categorias,0)</f>
        <v>3</v>
      </c>
      <c r="I35" s="43">
        <f>VLOOKUP(TB_Vendas[[#This Row],[Qtd]],Desc_TabelaToda,TB_Vendas[[#This Row],[Indice]],TRUE)</f>
        <v>0.2</v>
      </c>
      <c r="J35" s="43" cm="1">
        <f t="array" ref="J35">INDEX(Desc_TabelaToda,MATCH(TB_Vendas[[#This Row],[Qtd]],Desc_Quantidades,1),MATCH(_xlfn.XLOOKUP(TB_Vendas[[#This Row],[Código]],TB_Produtos[[#All],[Código]],TB_Produtos[[#All],[Categoria]]),Desc_Categorias,0))</f>
        <v>0.2</v>
      </c>
      <c r="K35" s="43">
        <f>_xlfn.XLOOKUP(TB_Vendas[[#This Row],[Vendedor]],Vendedores!$A$5:$A$9,Vendedores!$D$5:$D$9)</f>
        <v>0.15</v>
      </c>
      <c r="L35" s="43">
        <f>IF(TB_Vendas[[#This Row],[Desconto 
(Diretão)]]&lt;=TB_Vendas[[#This Row],[Desconto 
(Vendedor)]],TB_Vendas[[#This Row],[Desconto 
(Diretão)]],TB_Vendas[[#This Row],[Desconto 
(Vendedor)]])</f>
        <v>0.15</v>
      </c>
      <c r="M35" s="2">
        <f>TB_Vendas[[#This Row],[Preço Unitário]]*TB_Vendas[[#This Row],[Qtd]]</f>
        <v>77.699999999999989</v>
      </c>
      <c r="N35" s="1" t="s">
        <v>115</v>
      </c>
    </row>
    <row r="36" spans="1:14">
      <c r="A36" s="4">
        <f>MONTH(TB_Vendas[[#This Row],[Data]])</f>
        <v>4</v>
      </c>
      <c r="B36" s="4" t="str">
        <f>PROPER(TEXT(DATE(,TB_Vendas[[#This Row],[Nº]],1),"Mmm"))</f>
        <v>Abr</v>
      </c>
      <c r="C36" s="3">
        <v>45027</v>
      </c>
      <c r="D36" s="4" t="s">
        <v>35</v>
      </c>
      <c r="E36" s="4" t="str">
        <f>_xlfn.XLOOKUP(TB_Vendas[[#This Row],[Código]],TB_Produtos[Código],TB_Produtos[Categoria])</f>
        <v>Acessórios</v>
      </c>
      <c r="F36" s="1">
        <v>2</v>
      </c>
      <c r="G36" s="7">
        <f>VLOOKUP(TB_Vendas[[#This Row],[Código]],Produtos!$B$6:$G$66,6,0)</f>
        <v>145</v>
      </c>
      <c r="H36" s="1">
        <f>_xlfn.XMATCH(TB_Vendas[[#This Row],[Categoria]],Desc_Categorias,0)</f>
        <v>2</v>
      </c>
      <c r="I36" s="43">
        <f>VLOOKUP(TB_Vendas[[#This Row],[Qtd]],Desc_TabelaToda,TB_Vendas[[#This Row],[Indice]],TRUE)</f>
        <v>0.05</v>
      </c>
      <c r="J36" s="43" cm="1">
        <f t="array" ref="J36">INDEX(Desc_TabelaToda,MATCH(TB_Vendas[[#This Row],[Qtd]],Desc_Quantidades,1),MATCH(_xlfn.XLOOKUP(TB_Vendas[[#This Row],[Código]],TB_Produtos[[#All],[Código]],TB_Produtos[[#All],[Categoria]]),Desc_Categorias,0))</f>
        <v>0.05</v>
      </c>
      <c r="K36" s="43">
        <f>_xlfn.XLOOKUP(TB_Vendas[[#This Row],[Vendedor]],Vendedores!$A$5:$A$9,Vendedores!$D$5:$D$9)</f>
        <v>0.2</v>
      </c>
      <c r="L36" s="43">
        <f>IF(TB_Vendas[[#This Row],[Desconto 
(Diretão)]]&lt;=TB_Vendas[[#This Row],[Desconto 
(Vendedor)]],TB_Vendas[[#This Row],[Desconto 
(Diretão)]],TB_Vendas[[#This Row],[Desconto 
(Vendedor)]])</f>
        <v>0.05</v>
      </c>
      <c r="M36" s="2">
        <f>TB_Vendas[[#This Row],[Preço Unitário]]*TB_Vendas[[#This Row],[Qtd]]</f>
        <v>290</v>
      </c>
      <c r="N36" s="1" t="s">
        <v>114</v>
      </c>
    </row>
    <row r="37" spans="1:14">
      <c r="A37" s="4">
        <f>MONTH(TB_Vendas[[#This Row],[Data]])</f>
        <v>4</v>
      </c>
      <c r="B37" s="4" t="str">
        <f>PROPER(TEXT(DATE(,TB_Vendas[[#This Row],[Nº]],1),"Mmm"))</f>
        <v>Abr</v>
      </c>
      <c r="C37" s="3">
        <v>45028</v>
      </c>
      <c r="D37" s="4" t="s">
        <v>37</v>
      </c>
      <c r="E37" s="4" t="str">
        <f>_xlfn.XLOOKUP(TB_Vendas[[#This Row],[Código]],TB_Produtos[Código],TB_Produtos[Categoria])</f>
        <v>Acessórios</v>
      </c>
      <c r="F37" s="1">
        <v>1</v>
      </c>
      <c r="G37" s="7">
        <f>VLOOKUP(TB_Vendas[[#This Row],[Código]],Produtos!$B$6:$G$66,6,0)</f>
        <v>39.9</v>
      </c>
      <c r="H37" s="1">
        <f>_xlfn.XMATCH(TB_Vendas[[#This Row],[Categoria]],Desc_Categorias,0)</f>
        <v>2</v>
      </c>
      <c r="I37" s="43">
        <f>VLOOKUP(TB_Vendas[[#This Row],[Qtd]],Desc_TabelaToda,TB_Vendas[[#This Row],[Indice]],TRUE)</f>
        <v>0</v>
      </c>
      <c r="J37" s="43" cm="1">
        <f t="array" ref="J37">INDEX(Desc_TabelaToda,MATCH(TB_Vendas[[#This Row],[Qtd]],Desc_Quantidades,1),MATCH(_xlfn.XLOOKUP(TB_Vendas[[#This Row],[Código]],TB_Produtos[[#All],[Código]],TB_Produtos[[#All],[Categoria]]),Desc_Categorias,0))</f>
        <v>0</v>
      </c>
      <c r="K37" s="43">
        <f>_xlfn.XLOOKUP(TB_Vendas[[#This Row],[Vendedor]],Vendedores!$A$5:$A$9,Vendedores!$D$5:$D$9)</f>
        <v>0.15</v>
      </c>
      <c r="L37" s="43">
        <f>IF(TB_Vendas[[#This Row],[Desconto 
(Diretão)]]&lt;=TB_Vendas[[#This Row],[Desconto 
(Vendedor)]],TB_Vendas[[#This Row],[Desconto 
(Diretão)]],TB_Vendas[[#This Row],[Desconto 
(Vendedor)]])</f>
        <v>0</v>
      </c>
      <c r="M37" s="2">
        <f>TB_Vendas[[#This Row],[Preço Unitário]]*TB_Vendas[[#This Row],[Qtd]]</f>
        <v>39.9</v>
      </c>
      <c r="N37" s="1" t="s">
        <v>115</v>
      </c>
    </row>
    <row r="38" spans="1:14">
      <c r="A38" s="4">
        <f>MONTH(TB_Vendas[[#This Row],[Data]])</f>
        <v>4</v>
      </c>
      <c r="B38" s="4" t="str">
        <f>PROPER(TEXT(DATE(,TB_Vendas[[#This Row],[Nº]],1),"Mmm"))</f>
        <v>Abr</v>
      </c>
      <c r="C38" s="3">
        <v>45029</v>
      </c>
      <c r="D38" s="4" t="s">
        <v>57</v>
      </c>
      <c r="E38" s="4" t="str">
        <f>_xlfn.XLOOKUP(TB_Vendas[[#This Row],[Código]],TB_Produtos[Código],TB_Produtos[Categoria])</f>
        <v>Acessórios</v>
      </c>
      <c r="F38" s="1">
        <v>3</v>
      </c>
      <c r="G38" s="7">
        <f>VLOOKUP(TB_Vendas[[#This Row],[Código]],Produtos!$B$6:$G$66,6,0)</f>
        <v>349.9</v>
      </c>
      <c r="H38" s="1">
        <f>_xlfn.XMATCH(TB_Vendas[[#This Row],[Categoria]],Desc_Categorias,0)</f>
        <v>2</v>
      </c>
      <c r="I38" s="43">
        <f>VLOOKUP(TB_Vendas[[#This Row],[Qtd]],Desc_TabelaToda,TB_Vendas[[#This Row],[Indice]],TRUE)</f>
        <v>0.15</v>
      </c>
      <c r="J38" s="43" cm="1">
        <f t="array" ref="J38">INDEX(Desc_TabelaToda,MATCH(TB_Vendas[[#This Row],[Qtd]],Desc_Quantidades,1),MATCH(_xlfn.XLOOKUP(TB_Vendas[[#This Row],[Código]],TB_Produtos[[#All],[Código]],TB_Produtos[[#All],[Categoria]]),Desc_Categorias,0))</f>
        <v>0.15</v>
      </c>
      <c r="K38" s="43">
        <f>_xlfn.XLOOKUP(TB_Vendas[[#This Row],[Vendedor]],Vendedores!$A$5:$A$9,Vendedores!$D$5:$D$9)</f>
        <v>0.2</v>
      </c>
      <c r="L38" s="43">
        <f>IF(TB_Vendas[[#This Row],[Desconto 
(Diretão)]]&lt;=TB_Vendas[[#This Row],[Desconto 
(Vendedor)]],TB_Vendas[[#This Row],[Desconto 
(Diretão)]],TB_Vendas[[#This Row],[Desconto 
(Vendedor)]])</f>
        <v>0.15</v>
      </c>
      <c r="M38" s="2">
        <f>TB_Vendas[[#This Row],[Preço Unitário]]*TB_Vendas[[#This Row],[Qtd]]</f>
        <v>1049.6999999999998</v>
      </c>
      <c r="N38" s="1" t="s">
        <v>117</v>
      </c>
    </row>
    <row r="39" spans="1:14">
      <c r="A39" s="4">
        <f>MONTH(TB_Vendas[[#This Row],[Data]])</f>
        <v>4</v>
      </c>
      <c r="B39" s="4" t="str">
        <f>PROPER(TEXT(DATE(,TB_Vendas[[#This Row],[Nº]],1),"Mmm"))</f>
        <v>Abr</v>
      </c>
      <c r="C39" s="3">
        <v>45031</v>
      </c>
      <c r="D39" s="4" t="s">
        <v>106</v>
      </c>
      <c r="E39" s="4" t="str">
        <f>_xlfn.XLOOKUP(TB_Vendas[[#This Row],[Código]],TB_Produtos[Código],TB_Produtos[Categoria])</f>
        <v>Calçado</v>
      </c>
      <c r="F39" s="1">
        <v>4</v>
      </c>
      <c r="G39" s="7">
        <f>VLOOKUP(TB_Vendas[[#This Row],[Código]],Produtos!$B$6:$G$66,6,0)</f>
        <v>89.9</v>
      </c>
      <c r="H39" s="1">
        <f>_xlfn.XMATCH(TB_Vendas[[#This Row],[Categoria]],Desc_Categorias,0)</f>
        <v>4</v>
      </c>
      <c r="I39" s="43">
        <f>VLOOKUP(TB_Vendas[[#This Row],[Qtd]],Desc_TabelaToda,TB_Vendas[[#This Row],[Indice]],TRUE)</f>
        <v>0.15</v>
      </c>
      <c r="J39" s="43" cm="1">
        <f t="array" ref="J39">INDEX(Desc_TabelaToda,MATCH(TB_Vendas[[#This Row],[Qtd]],Desc_Quantidades,1),MATCH(_xlfn.XLOOKUP(TB_Vendas[[#This Row],[Código]],TB_Produtos[[#All],[Código]],TB_Produtos[[#All],[Categoria]]),Desc_Categorias,0))</f>
        <v>0.15</v>
      </c>
      <c r="K39" s="43">
        <f>_xlfn.XLOOKUP(TB_Vendas[[#This Row],[Vendedor]],Vendedores!$A$5:$A$9,Vendedores!$D$5:$D$9)</f>
        <v>0.2</v>
      </c>
      <c r="L39" s="43">
        <f>IF(TB_Vendas[[#This Row],[Desconto 
(Diretão)]]&lt;=TB_Vendas[[#This Row],[Desconto 
(Vendedor)]],TB_Vendas[[#This Row],[Desconto 
(Diretão)]],TB_Vendas[[#This Row],[Desconto 
(Vendedor)]])</f>
        <v>0.15</v>
      </c>
      <c r="M39" s="2">
        <f>TB_Vendas[[#This Row],[Preço Unitário]]*TB_Vendas[[#This Row],[Qtd]]</f>
        <v>359.6</v>
      </c>
      <c r="N39" s="1" t="s">
        <v>114</v>
      </c>
    </row>
    <row r="40" spans="1:14">
      <c r="A40" s="4">
        <f>MONTH(TB_Vendas[[#This Row],[Data]])</f>
        <v>4</v>
      </c>
      <c r="B40" s="4" t="str">
        <f>PROPER(TEXT(DATE(,TB_Vendas[[#This Row],[Nº]],1),"Mmm"))</f>
        <v>Abr</v>
      </c>
      <c r="C40" s="3">
        <v>45038</v>
      </c>
      <c r="D40" s="4" t="s">
        <v>103</v>
      </c>
      <c r="E40" s="4" t="str">
        <f>_xlfn.XLOOKUP(TB_Vendas[[#This Row],[Código]],TB_Produtos[Código],TB_Produtos[Categoria])</f>
        <v>Calçado</v>
      </c>
      <c r="F40" s="1">
        <v>2</v>
      </c>
      <c r="G40" s="7">
        <f>VLOOKUP(TB_Vendas[[#This Row],[Código]],Produtos!$B$6:$G$66,6,0)</f>
        <v>89.9</v>
      </c>
      <c r="H40" s="1">
        <f>_xlfn.XMATCH(TB_Vendas[[#This Row],[Categoria]],Desc_Categorias,0)</f>
        <v>4</v>
      </c>
      <c r="I40" s="43">
        <f>VLOOKUP(TB_Vendas[[#This Row],[Qtd]],Desc_TabelaToda,TB_Vendas[[#This Row],[Indice]],TRUE)</f>
        <v>0.1</v>
      </c>
      <c r="J40" s="43" cm="1">
        <f t="array" ref="J40">INDEX(Desc_TabelaToda,MATCH(TB_Vendas[[#This Row],[Qtd]],Desc_Quantidades,1),MATCH(_xlfn.XLOOKUP(TB_Vendas[[#This Row],[Código]],TB_Produtos[[#All],[Código]],TB_Produtos[[#All],[Categoria]]),Desc_Categorias,0))</f>
        <v>0.1</v>
      </c>
      <c r="K40" s="43">
        <f>_xlfn.XLOOKUP(TB_Vendas[[#This Row],[Vendedor]],Vendedores!$A$5:$A$9,Vendedores!$D$5:$D$9)</f>
        <v>0.2</v>
      </c>
      <c r="L40" s="43">
        <f>IF(TB_Vendas[[#This Row],[Desconto 
(Diretão)]]&lt;=TB_Vendas[[#This Row],[Desconto 
(Vendedor)]],TB_Vendas[[#This Row],[Desconto 
(Diretão)]],TB_Vendas[[#This Row],[Desconto 
(Vendedor)]])</f>
        <v>0.1</v>
      </c>
      <c r="M40" s="2">
        <f>TB_Vendas[[#This Row],[Preço Unitário]]*TB_Vendas[[#This Row],[Qtd]]</f>
        <v>179.8</v>
      </c>
      <c r="N40" s="1" t="s">
        <v>117</v>
      </c>
    </row>
    <row r="41" spans="1:14">
      <c r="A41" s="4">
        <f>MONTH(TB_Vendas[[#This Row],[Data]])</f>
        <v>4</v>
      </c>
      <c r="B41" s="4" t="str">
        <f>PROPER(TEXT(DATE(,TB_Vendas[[#This Row],[Nº]],1),"Mmm"))</f>
        <v>Abr</v>
      </c>
      <c r="C41" s="3">
        <v>45039</v>
      </c>
      <c r="D41" s="4" t="s">
        <v>33</v>
      </c>
      <c r="E41" s="4" t="str">
        <f>_xlfn.XLOOKUP(TB_Vendas[[#This Row],[Código]],TB_Produtos[Código],TB_Produtos[Categoria])</f>
        <v>Vestuário</v>
      </c>
      <c r="F41" s="1">
        <v>3</v>
      </c>
      <c r="G41" s="7">
        <f>VLOOKUP(TB_Vendas[[#This Row],[Código]],Produtos!$B$6:$G$66,6,0)</f>
        <v>69.900000000000006</v>
      </c>
      <c r="H41" s="1">
        <f>_xlfn.XMATCH(TB_Vendas[[#This Row],[Categoria]],Desc_Categorias,0)</f>
        <v>3</v>
      </c>
      <c r="I41" s="43">
        <f>VLOOKUP(TB_Vendas[[#This Row],[Qtd]],Desc_TabelaToda,TB_Vendas[[#This Row],[Indice]],TRUE)</f>
        <v>0.2</v>
      </c>
      <c r="J41" s="43" cm="1">
        <f t="array" ref="J41">INDEX(Desc_TabelaToda,MATCH(TB_Vendas[[#This Row],[Qtd]],Desc_Quantidades,1),MATCH(_xlfn.XLOOKUP(TB_Vendas[[#This Row],[Código]],TB_Produtos[[#All],[Código]],TB_Produtos[[#All],[Categoria]]),Desc_Categorias,0))</f>
        <v>0.2</v>
      </c>
      <c r="K41" s="43">
        <f>_xlfn.XLOOKUP(TB_Vendas[[#This Row],[Vendedor]],Vendedores!$A$5:$A$9,Vendedores!$D$5:$D$9)</f>
        <v>0.2</v>
      </c>
      <c r="L41" s="43">
        <f>IF(TB_Vendas[[#This Row],[Desconto 
(Diretão)]]&lt;=TB_Vendas[[#This Row],[Desconto 
(Vendedor)]],TB_Vendas[[#This Row],[Desconto 
(Diretão)]],TB_Vendas[[#This Row],[Desconto 
(Vendedor)]])</f>
        <v>0.2</v>
      </c>
      <c r="M41" s="2">
        <f>TB_Vendas[[#This Row],[Preço Unitário]]*TB_Vendas[[#This Row],[Qtd]]</f>
        <v>209.70000000000002</v>
      </c>
      <c r="N41" s="1" t="s">
        <v>114</v>
      </c>
    </row>
    <row r="42" spans="1:14">
      <c r="A42" s="4">
        <f>MONTH(TB_Vendas[[#This Row],[Data]])</f>
        <v>4</v>
      </c>
      <c r="B42" s="4" t="str">
        <f>PROPER(TEXT(DATE(,TB_Vendas[[#This Row],[Nº]],1),"Mmm"))</f>
        <v>Abr</v>
      </c>
      <c r="C42" s="3">
        <v>45042</v>
      </c>
      <c r="D42" s="4" t="s">
        <v>35</v>
      </c>
      <c r="E42" s="4" t="str">
        <f>_xlfn.XLOOKUP(TB_Vendas[[#This Row],[Código]],TB_Produtos[Código],TB_Produtos[Categoria])</f>
        <v>Acessórios</v>
      </c>
      <c r="F42" s="1">
        <v>1</v>
      </c>
      <c r="G42" s="7">
        <f>VLOOKUP(TB_Vendas[[#This Row],[Código]],Produtos!$B$6:$G$66,6,0)</f>
        <v>145</v>
      </c>
      <c r="H42" s="1">
        <f>_xlfn.XMATCH(TB_Vendas[[#This Row],[Categoria]],Desc_Categorias,0)</f>
        <v>2</v>
      </c>
      <c r="I42" s="43">
        <f>VLOOKUP(TB_Vendas[[#This Row],[Qtd]],Desc_TabelaToda,TB_Vendas[[#This Row],[Indice]],TRUE)</f>
        <v>0</v>
      </c>
      <c r="J42" s="43" cm="1">
        <f t="array" ref="J42">INDEX(Desc_TabelaToda,MATCH(TB_Vendas[[#This Row],[Qtd]],Desc_Quantidades,1),MATCH(_xlfn.XLOOKUP(TB_Vendas[[#This Row],[Código]],TB_Produtos[[#All],[Código]],TB_Produtos[[#All],[Categoria]]),Desc_Categorias,0))</f>
        <v>0</v>
      </c>
      <c r="K42" s="43">
        <f>_xlfn.XLOOKUP(TB_Vendas[[#This Row],[Vendedor]],Vendedores!$A$5:$A$9,Vendedores!$D$5:$D$9)</f>
        <v>0.15</v>
      </c>
      <c r="L42" s="43">
        <f>IF(TB_Vendas[[#This Row],[Desconto 
(Diretão)]]&lt;=TB_Vendas[[#This Row],[Desconto 
(Vendedor)]],TB_Vendas[[#This Row],[Desconto 
(Diretão)]],TB_Vendas[[#This Row],[Desconto 
(Vendedor)]])</f>
        <v>0</v>
      </c>
      <c r="M42" s="2">
        <f>TB_Vendas[[#This Row],[Preço Unitário]]*TB_Vendas[[#This Row],[Qtd]]</f>
        <v>145</v>
      </c>
      <c r="N42" s="1" t="s">
        <v>118</v>
      </c>
    </row>
    <row r="43" spans="1:14">
      <c r="A43" s="4">
        <f>MONTH(TB_Vendas[[#This Row],[Data]])</f>
        <v>4</v>
      </c>
      <c r="B43" s="4" t="str">
        <f>PROPER(TEXT(DATE(,TB_Vendas[[#This Row],[Nº]],1),"Mmm"))</f>
        <v>Abr</v>
      </c>
      <c r="C43" s="3">
        <v>45043</v>
      </c>
      <c r="D43" s="4" t="s">
        <v>42</v>
      </c>
      <c r="E43" s="4" t="str">
        <f>_xlfn.XLOOKUP(TB_Vendas[[#This Row],[Código]],TB_Produtos[Código],TB_Produtos[Categoria])</f>
        <v>Vestuário</v>
      </c>
      <c r="F43" s="1">
        <v>4</v>
      </c>
      <c r="G43" s="7">
        <f>VLOOKUP(TB_Vendas[[#This Row],[Código]],Produtos!$B$6:$G$66,6,0)</f>
        <v>46.9</v>
      </c>
      <c r="H43" s="1">
        <f>_xlfn.XMATCH(TB_Vendas[[#This Row],[Categoria]],Desc_Categorias,0)</f>
        <v>3</v>
      </c>
      <c r="I43" s="43">
        <f>VLOOKUP(TB_Vendas[[#This Row],[Qtd]],Desc_TabelaToda,TB_Vendas[[#This Row],[Indice]],TRUE)</f>
        <v>0.2</v>
      </c>
      <c r="J43" s="43" cm="1">
        <f t="array" ref="J43">INDEX(Desc_TabelaToda,MATCH(TB_Vendas[[#This Row],[Qtd]],Desc_Quantidades,1),MATCH(_xlfn.XLOOKUP(TB_Vendas[[#This Row],[Código]],TB_Produtos[[#All],[Código]],TB_Produtos[[#All],[Categoria]]),Desc_Categorias,0))</f>
        <v>0.2</v>
      </c>
      <c r="K43" s="43">
        <f>_xlfn.XLOOKUP(TB_Vendas[[#This Row],[Vendedor]],Vendedores!$A$5:$A$9,Vendedores!$D$5:$D$9)</f>
        <v>0.2</v>
      </c>
      <c r="L43" s="43">
        <f>IF(TB_Vendas[[#This Row],[Desconto 
(Diretão)]]&lt;=TB_Vendas[[#This Row],[Desconto 
(Vendedor)]],TB_Vendas[[#This Row],[Desconto 
(Diretão)]],TB_Vendas[[#This Row],[Desconto 
(Vendedor)]])</f>
        <v>0.2</v>
      </c>
      <c r="M43" s="2">
        <f>TB_Vendas[[#This Row],[Preço Unitário]]*TB_Vendas[[#This Row],[Qtd]]</f>
        <v>187.6</v>
      </c>
      <c r="N43" s="1" t="s">
        <v>114</v>
      </c>
    </row>
    <row r="44" spans="1:14">
      <c r="A44" s="4">
        <f>MONTH(TB_Vendas[[#This Row],[Data]])</f>
        <v>5</v>
      </c>
      <c r="B44" s="4" t="str">
        <f>PROPER(TEXT(DATE(,TB_Vendas[[#This Row],[Nº]],1),"Mmm"))</f>
        <v>Mai</v>
      </c>
      <c r="C44" s="3">
        <v>45054</v>
      </c>
      <c r="D44" s="4" t="s">
        <v>87</v>
      </c>
      <c r="E44" s="4" t="str">
        <f>_xlfn.XLOOKUP(TB_Vendas[[#This Row],[Código]],TB_Produtos[Código],TB_Produtos[Categoria])</f>
        <v>Vestuário</v>
      </c>
      <c r="F44" s="1">
        <v>2</v>
      </c>
      <c r="G44" s="7">
        <f>VLOOKUP(TB_Vendas[[#This Row],[Código]],Produtos!$B$6:$G$66,6,0)</f>
        <v>72.5</v>
      </c>
      <c r="H44" s="1">
        <f>_xlfn.XMATCH(TB_Vendas[[#This Row],[Categoria]],Desc_Categorias,0)</f>
        <v>3</v>
      </c>
      <c r="I44" s="43">
        <f>VLOOKUP(TB_Vendas[[#This Row],[Qtd]],Desc_TabelaToda,TB_Vendas[[#This Row],[Indice]],TRUE)</f>
        <v>0.15</v>
      </c>
      <c r="J44" s="43" cm="1">
        <f t="array" ref="J44">INDEX(Desc_TabelaToda,MATCH(TB_Vendas[[#This Row],[Qtd]],Desc_Quantidades,1),MATCH(_xlfn.XLOOKUP(TB_Vendas[[#This Row],[Código]],TB_Produtos[[#All],[Código]],TB_Produtos[[#All],[Categoria]]),Desc_Categorias,0))</f>
        <v>0.15</v>
      </c>
      <c r="K44" s="43">
        <f>_xlfn.XLOOKUP(TB_Vendas[[#This Row],[Vendedor]],Vendedores!$A$5:$A$9,Vendedores!$D$5:$D$9)</f>
        <v>0.15</v>
      </c>
      <c r="L44" s="43">
        <f>IF(TB_Vendas[[#This Row],[Desconto 
(Diretão)]]&lt;=TB_Vendas[[#This Row],[Desconto 
(Vendedor)]],TB_Vendas[[#This Row],[Desconto 
(Diretão)]],TB_Vendas[[#This Row],[Desconto 
(Vendedor)]])</f>
        <v>0.15</v>
      </c>
      <c r="M44" s="2">
        <f>TB_Vendas[[#This Row],[Preço Unitário]]*TB_Vendas[[#This Row],[Qtd]]</f>
        <v>145</v>
      </c>
      <c r="N44" s="1" t="s">
        <v>118</v>
      </c>
    </row>
    <row r="45" spans="1:14">
      <c r="A45" s="4">
        <f>MONTH(TB_Vendas[[#This Row],[Data]])</f>
        <v>5</v>
      </c>
      <c r="B45" s="4" t="str">
        <f>PROPER(TEXT(DATE(,TB_Vendas[[#This Row],[Nº]],1),"Mmm"))</f>
        <v>Mai</v>
      </c>
      <c r="C45" s="3">
        <v>45055</v>
      </c>
      <c r="D45" s="4" t="s">
        <v>68</v>
      </c>
      <c r="E45" s="4" t="str">
        <f>_xlfn.XLOOKUP(TB_Vendas[[#This Row],[Código]],TB_Produtos[Código],TB_Produtos[Categoria])</f>
        <v>Vestuário</v>
      </c>
      <c r="F45" s="1">
        <v>3</v>
      </c>
      <c r="G45" s="7">
        <f>VLOOKUP(TB_Vendas[[#This Row],[Código]],Produtos!$B$6:$G$66,6,0)</f>
        <v>140</v>
      </c>
      <c r="H45" s="1">
        <f>_xlfn.XMATCH(TB_Vendas[[#This Row],[Categoria]],Desc_Categorias,0)</f>
        <v>3</v>
      </c>
      <c r="I45" s="43">
        <f>VLOOKUP(TB_Vendas[[#This Row],[Qtd]],Desc_TabelaToda,TB_Vendas[[#This Row],[Indice]],TRUE)</f>
        <v>0.2</v>
      </c>
      <c r="J45" s="43" cm="1">
        <f t="array" ref="J45">INDEX(Desc_TabelaToda,MATCH(TB_Vendas[[#This Row],[Qtd]],Desc_Quantidades,1),MATCH(_xlfn.XLOOKUP(TB_Vendas[[#This Row],[Código]],TB_Produtos[[#All],[Código]],TB_Produtos[[#All],[Categoria]]),Desc_Categorias,0))</f>
        <v>0.2</v>
      </c>
      <c r="K45" s="43">
        <f>_xlfn.XLOOKUP(TB_Vendas[[#This Row],[Vendedor]],Vendedores!$A$5:$A$9,Vendedores!$D$5:$D$9)</f>
        <v>0.2</v>
      </c>
      <c r="L45" s="43">
        <f>IF(TB_Vendas[[#This Row],[Desconto 
(Diretão)]]&lt;=TB_Vendas[[#This Row],[Desconto 
(Vendedor)]],TB_Vendas[[#This Row],[Desconto 
(Diretão)]],TB_Vendas[[#This Row],[Desconto 
(Vendedor)]])</f>
        <v>0.2</v>
      </c>
      <c r="M45" s="2">
        <f>TB_Vendas[[#This Row],[Preço Unitário]]*TB_Vendas[[#This Row],[Qtd]]</f>
        <v>420</v>
      </c>
      <c r="N45" s="1" t="s">
        <v>117</v>
      </c>
    </row>
    <row r="46" spans="1:14">
      <c r="A46" s="4">
        <f>MONTH(TB_Vendas[[#This Row],[Data]])</f>
        <v>5</v>
      </c>
      <c r="B46" s="4" t="str">
        <f>PROPER(TEXT(DATE(,TB_Vendas[[#This Row],[Nº]],1),"Mmm"))</f>
        <v>Mai</v>
      </c>
      <c r="C46" s="3">
        <v>45056</v>
      </c>
      <c r="D46" s="4" t="s">
        <v>66</v>
      </c>
      <c r="E46" s="4" t="str">
        <f>_xlfn.XLOOKUP(TB_Vendas[[#This Row],[Código]],TB_Produtos[Código],TB_Produtos[Categoria])</f>
        <v>Vestuário</v>
      </c>
      <c r="F46" s="1">
        <v>1</v>
      </c>
      <c r="G46" s="7">
        <f>VLOOKUP(TB_Vendas[[#This Row],[Código]],Produtos!$B$6:$G$66,6,0)</f>
        <v>91.4</v>
      </c>
      <c r="H46" s="1">
        <f>_xlfn.XMATCH(TB_Vendas[[#This Row],[Categoria]],Desc_Categorias,0)</f>
        <v>3</v>
      </c>
      <c r="I46" s="43">
        <f>VLOOKUP(TB_Vendas[[#This Row],[Qtd]],Desc_TabelaToda,TB_Vendas[[#This Row],[Indice]],TRUE)</f>
        <v>0.1</v>
      </c>
      <c r="J46" s="43" cm="1">
        <f t="array" ref="J46">INDEX(Desc_TabelaToda,MATCH(TB_Vendas[[#This Row],[Qtd]],Desc_Quantidades,1),MATCH(_xlfn.XLOOKUP(TB_Vendas[[#This Row],[Código]],TB_Produtos[[#All],[Código]],TB_Produtos[[#All],[Categoria]]),Desc_Categorias,0))</f>
        <v>0.1</v>
      </c>
      <c r="K46" s="43">
        <f>_xlfn.XLOOKUP(TB_Vendas[[#This Row],[Vendedor]],Vendedores!$A$5:$A$9,Vendedores!$D$5:$D$9)</f>
        <v>0.15</v>
      </c>
      <c r="L46" s="43">
        <f>IF(TB_Vendas[[#This Row],[Desconto 
(Diretão)]]&lt;=TB_Vendas[[#This Row],[Desconto 
(Vendedor)]],TB_Vendas[[#This Row],[Desconto 
(Diretão)]],TB_Vendas[[#This Row],[Desconto 
(Vendedor)]])</f>
        <v>0.1</v>
      </c>
      <c r="M46" s="2">
        <f>TB_Vendas[[#This Row],[Preço Unitário]]*TB_Vendas[[#This Row],[Qtd]]</f>
        <v>91.4</v>
      </c>
      <c r="N46" s="1" t="s">
        <v>115</v>
      </c>
    </row>
    <row r="47" spans="1:14">
      <c r="A47" s="4">
        <f>MONTH(TB_Vendas[[#This Row],[Data]])</f>
        <v>5</v>
      </c>
      <c r="B47" s="4" t="str">
        <f>PROPER(TEXT(DATE(,TB_Vendas[[#This Row],[Nº]],1),"Mmm"))</f>
        <v>Mai</v>
      </c>
      <c r="C47" s="3">
        <v>45057</v>
      </c>
      <c r="D47" s="4" t="s">
        <v>57</v>
      </c>
      <c r="E47" s="4" t="str">
        <f>_xlfn.XLOOKUP(TB_Vendas[[#This Row],[Código]],TB_Produtos[Código],TB_Produtos[Categoria])</f>
        <v>Acessórios</v>
      </c>
      <c r="F47" s="1">
        <v>2</v>
      </c>
      <c r="G47" s="7">
        <f>VLOOKUP(TB_Vendas[[#This Row],[Código]],Produtos!$B$6:$G$66,6,0)</f>
        <v>349.9</v>
      </c>
      <c r="H47" s="1">
        <f>_xlfn.XMATCH(TB_Vendas[[#This Row],[Categoria]],Desc_Categorias,0)</f>
        <v>2</v>
      </c>
      <c r="I47" s="43">
        <f>VLOOKUP(TB_Vendas[[#This Row],[Qtd]],Desc_TabelaToda,TB_Vendas[[#This Row],[Indice]],TRUE)</f>
        <v>0.05</v>
      </c>
      <c r="J47" s="43" cm="1">
        <f t="array" ref="J47">INDEX(Desc_TabelaToda,MATCH(TB_Vendas[[#This Row],[Qtd]],Desc_Quantidades,1),MATCH(_xlfn.XLOOKUP(TB_Vendas[[#This Row],[Código]],TB_Produtos[[#All],[Código]],TB_Produtos[[#All],[Categoria]]),Desc_Categorias,0))</f>
        <v>0.05</v>
      </c>
      <c r="K47" s="43">
        <f>_xlfn.XLOOKUP(TB_Vendas[[#This Row],[Vendedor]],Vendedores!$A$5:$A$9,Vendedores!$D$5:$D$9)</f>
        <v>0.2</v>
      </c>
      <c r="L47" s="43">
        <f>IF(TB_Vendas[[#This Row],[Desconto 
(Diretão)]]&lt;=TB_Vendas[[#This Row],[Desconto 
(Vendedor)]],TB_Vendas[[#This Row],[Desconto 
(Diretão)]],TB_Vendas[[#This Row],[Desconto 
(Vendedor)]])</f>
        <v>0.05</v>
      </c>
      <c r="M47" s="2">
        <f>TB_Vendas[[#This Row],[Preço Unitário]]*TB_Vendas[[#This Row],[Qtd]]</f>
        <v>699.8</v>
      </c>
      <c r="N47" s="1" t="s">
        <v>117</v>
      </c>
    </row>
    <row r="48" spans="1:14">
      <c r="A48" s="4">
        <f>MONTH(TB_Vendas[[#This Row],[Data]])</f>
        <v>5</v>
      </c>
      <c r="B48" s="4" t="str">
        <f>PROPER(TEXT(DATE(,TB_Vendas[[#This Row],[Nº]],1),"Mmm"))</f>
        <v>Mai</v>
      </c>
      <c r="C48" s="3">
        <v>45058</v>
      </c>
      <c r="D48" s="4" t="s">
        <v>32</v>
      </c>
      <c r="E48" s="4" t="str">
        <f>_xlfn.XLOOKUP(TB_Vendas[[#This Row],[Código]],TB_Produtos[Código],TB_Produtos[Categoria])</f>
        <v>Vestuário</v>
      </c>
      <c r="F48" s="1">
        <v>3</v>
      </c>
      <c r="G48" s="7">
        <f>VLOOKUP(TB_Vendas[[#This Row],[Código]],Produtos!$B$6:$G$66,6,0)</f>
        <v>65.900000000000006</v>
      </c>
      <c r="H48" s="1">
        <f>_xlfn.XMATCH(TB_Vendas[[#This Row],[Categoria]],Desc_Categorias,0)</f>
        <v>3</v>
      </c>
      <c r="I48" s="43">
        <f>VLOOKUP(TB_Vendas[[#This Row],[Qtd]],Desc_TabelaToda,TB_Vendas[[#This Row],[Indice]],TRUE)</f>
        <v>0.2</v>
      </c>
      <c r="J48" s="43" cm="1">
        <f t="array" ref="J48">INDEX(Desc_TabelaToda,MATCH(TB_Vendas[[#This Row],[Qtd]],Desc_Quantidades,1),MATCH(_xlfn.XLOOKUP(TB_Vendas[[#This Row],[Código]],TB_Produtos[[#All],[Código]],TB_Produtos[[#All],[Categoria]]),Desc_Categorias,0))</f>
        <v>0.2</v>
      </c>
      <c r="K48" s="43">
        <f>_xlfn.XLOOKUP(TB_Vendas[[#This Row],[Vendedor]],Vendedores!$A$5:$A$9,Vendedores!$D$5:$D$9)</f>
        <v>0.15</v>
      </c>
      <c r="L48" s="43">
        <f>IF(TB_Vendas[[#This Row],[Desconto 
(Diretão)]]&lt;=TB_Vendas[[#This Row],[Desconto 
(Vendedor)]],TB_Vendas[[#This Row],[Desconto 
(Diretão)]],TB_Vendas[[#This Row],[Desconto 
(Vendedor)]])</f>
        <v>0.15</v>
      </c>
      <c r="M48" s="2">
        <f>TB_Vendas[[#This Row],[Preço Unitário]]*TB_Vendas[[#This Row],[Qtd]]</f>
        <v>197.70000000000002</v>
      </c>
      <c r="N48" s="1" t="s">
        <v>115</v>
      </c>
    </row>
    <row r="49" spans="1:14">
      <c r="A49" s="4">
        <f>MONTH(TB_Vendas[[#This Row],[Data]])</f>
        <v>5</v>
      </c>
      <c r="B49" s="4" t="str">
        <f>PROPER(TEXT(DATE(,TB_Vendas[[#This Row],[Nº]],1),"Mmm"))</f>
        <v>Mai</v>
      </c>
      <c r="C49" s="3">
        <v>45061</v>
      </c>
      <c r="D49" s="4" t="s">
        <v>66</v>
      </c>
      <c r="E49" s="4" t="str">
        <f>_xlfn.XLOOKUP(TB_Vendas[[#This Row],[Código]],TB_Produtos[Código],TB_Produtos[Categoria])</f>
        <v>Vestuário</v>
      </c>
      <c r="F49" s="1">
        <v>2</v>
      </c>
      <c r="G49" s="7">
        <f>VLOOKUP(TB_Vendas[[#This Row],[Código]],Produtos!$B$6:$G$66,6,0)</f>
        <v>91.4</v>
      </c>
      <c r="H49" s="1">
        <f>_xlfn.XMATCH(TB_Vendas[[#This Row],[Categoria]],Desc_Categorias,0)</f>
        <v>3</v>
      </c>
      <c r="I49" s="43">
        <f>VLOOKUP(TB_Vendas[[#This Row],[Qtd]],Desc_TabelaToda,TB_Vendas[[#This Row],[Indice]],TRUE)</f>
        <v>0.15</v>
      </c>
      <c r="J49" s="43" cm="1">
        <f t="array" ref="J49">INDEX(Desc_TabelaToda,MATCH(TB_Vendas[[#This Row],[Qtd]],Desc_Quantidades,1),MATCH(_xlfn.XLOOKUP(TB_Vendas[[#This Row],[Código]],TB_Produtos[[#All],[Código]],TB_Produtos[[#All],[Categoria]]),Desc_Categorias,0))</f>
        <v>0.15</v>
      </c>
      <c r="K49" s="43">
        <f>_xlfn.XLOOKUP(TB_Vendas[[#This Row],[Vendedor]],Vendedores!$A$5:$A$9,Vendedores!$D$5:$D$9)</f>
        <v>0.2</v>
      </c>
      <c r="L49" s="43">
        <f>IF(TB_Vendas[[#This Row],[Desconto 
(Diretão)]]&lt;=TB_Vendas[[#This Row],[Desconto 
(Vendedor)]],TB_Vendas[[#This Row],[Desconto 
(Diretão)]],TB_Vendas[[#This Row],[Desconto 
(Vendedor)]])</f>
        <v>0.15</v>
      </c>
      <c r="M49" s="2">
        <f>TB_Vendas[[#This Row],[Preço Unitário]]*TB_Vendas[[#This Row],[Qtd]]</f>
        <v>182.8</v>
      </c>
      <c r="N49" s="1" t="s">
        <v>114</v>
      </c>
    </row>
    <row r="50" spans="1:14">
      <c r="A50" s="4">
        <f>MONTH(TB_Vendas[[#This Row],[Data]])</f>
        <v>5</v>
      </c>
      <c r="B50" s="4" t="str">
        <f>PROPER(TEXT(DATE(,TB_Vendas[[#This Row],[Nº]],1),"Mmm"))</f>
        <v>Mai</v>
      </c>
      <c r="C50" s="3">
        <v>45064</v>
      </c>
      <c r="D50" s="4" t="s">
        <v>36</v>
      </c>
      <c r="E50" s="4" t="str">
        <f>_xlfn.XLOOKUP(TB_Vendas[[#This Row],[Código]],TB_Produtos[Código],TB_Produtos[Categoria])</f>
        <v>Acessórios</v>
      </c>
      <c r="F50" s="1">
        <v>4</v>
      </c>
      <c r="G50" s="7">
        <f>VLOOKUP(TB_Vendas[[#This Row],[Código]],Produtos!$B$6:$G$66,6,0)</f>
        <v>259.89999999999998</v>
      </c>
      <c r="H50" s="1">
        <f>_xlfn.XMATCH(TB_Vendas[[#This Row],[Categoria]],Desc_Categorias,0)</f>
        <v>2</v>
      </c>
      <c r="I50" s="43">
        <f>VLOOKUP(TB_Vendas[[#This Row],[Qtd]],Desc_TabelaToda,TB_Vendas[[#This Row],[Indice]],TRUE)</f>
        <v>0.15</v>
      </c>
      <c r="J50" s="43" cm="1">
        <f t="array" ref="J50">INDEX(Desc_TabelaToda,MATCH(TB_Vendas[[#This Row],[Qtd]],Desc_Quantidades,1),MATCH(_xlfn.XLOOKUP(TB_Vendas[[#This Row],[Código]],TB_Produtos[[#All],[Código]],TB_Produtos[[#All],[Categoria]]),Desc_Categorias,0))</f>
        <v>0.15</v>
      </c>
      <c r="K50" s="43">
        <f>_xlfn.XLOOKUP(TB_Vendas[[#This Row],[Vendedor]],Vendedores!$A$5:$A$9,Vendedores!$D$5:$D$9)</f>
        <v>0.15</v>
      </c>
      <c r="L50" s="43">
        <f>IF(TB_Vendas[[#This Row],[Desconto 
(Diretão)]]&lt;=TB_Vendas[[#This Row],[Desconto 
(Vendedor)]],TB_Vendas[[#This Row],[Desconto 
(Diretão)]],TB_Vendas[[#This Row],[Desconto 
(Vendedor)]])</f>
        <v>0.15</v>
      </c>
      <c r="M50" s="2">
        <f>TB_Vendas[[#This Row],[Preço Unitário]]*TB_Vendas[[#This Row],[Qtd]]</f>
        <v>1039.5999999999999</v>
      </c>
      <c r="N50" s="1" t="s">
        <v>115</v>
      </c>
    </row>
    <row r="51" spans="1:14">
      <c r="A51" s="4">
        <f>MONTH(TB_Vendas[[#This Row],[Data]])</f>
        <v>6</v>
      </c>
      <c r="B51" s="4" t="str">
        <f>PROPER(TEXT(DATE(,TB_Vendas[[#This Row],[Nº]],1),"Mmm"))</f>
        <v>Jun</v>
      </c>
      <c r="C51" s="3">
        <v>45084</v>
      </c>
      <c r="D51" s="4" t="s">
        <v>35</v>
      </c>
      <c r="E51" s="4" t="str">
        <f>_xlfn.XLOOKUP(TB_Vendas[[#This Row],[Código]],TB_Produtos[Código],TB_Produtos[Categoria])</f>
        <v>Acessórios</v>
      </c>
      <c r="F51" s="1">
        <v>3</v>
      </c>
      <c r="G51" s="7">
        <f>VLOOKUP(TB_Vendas[[#This Row],[Código]],Produtos!$B$6:$G$66,6,0)</f>
        <v>145</v>
      </c>
      <c r="H51" s="1">
        <f>_xlfn.XMATCH(TB_Vendas[[#This Row],[Categoria]],Desc_Categorias,0)</f>
        <v>2</v>
      </c>
      <c r="I51" s="43">
        <f>VLOOKUP(TB_Vendas[[#This Row],[Qtd]],Desc_TabelaToda,TB_Vendas[[#This Row],[Indice]],TRUE)</f>
        <v>0.15</v>
      </c>
      <c r="J51" s="43" cm="1">
        <f t="array" ref="J51">INDEX(Desc_TabelaToda,MATCH(TB_Vendas[[#This Row],[Qtd]],Desc_Quantidades,1),MATCH(_xlfn.XLOOKUP(TB_Vendas[[#This Row],[Código]],TB_Produtos[[#All],[Código]],TB_Produtos[[#All],[Categoria]]),Desc_Categorias,0))</f>
        <v>0.15</v>
      </c>
      <c r="K51" s="43">
        <f>_xlfn.XLOOKUP(TB_Vendas[[#This Row],[Vendedor]],Vendedores!$A$5:$A$9,Vendedores!$D$5:$D$9)</f>
        <v>0.2</v>
      </c>
      <c r="L51" s="43">
        <f>IF(TB_Vendas[[#This Row],[Desconto 
(Diretão)]]&lt;=TB_Vendas[[#This Row],[Desconto 
(Vendedor)]],TB_Vendas[[#This Row],[Desconto 
(Diretão)]],TB_Vendas[[#This Row],[Desconto 
(Vendedor)]])</f>
        <v>0.15</v>
      </c>
      <c r="M51" s="2">
        <f>TB_Vendas[[#This Row],[Preço Unitário]]*TB_Vendas[[#This Row],[Qtd]]</f>
        <v>435</v>
      </c>
      <c r="N51" s="1" t="s">
        <v>114</v>
      </c>
    </row>
    <row r="52" spans="1:14">
      <c r="A52" s="4">
        <f>MONTH(TB_Vendas[[#This Row],[Data]])</f>
        <v>6</v>
      </c>
      <c r="B52" s="4" t="str">
        <f>PROPER(TEXT(DATE(,TB_Vendas[[#This Row],[Nº]],1),"Mmm"))</f>
        <v>Jun</v>
      </c>
      <c r="C52" s="3">
        <v>45084</v>
      </c>
      <c r="D52" s="4" t="s">
        <v>69</v>
      </c>
      <c r="E52" s="4" t="str">
        <f>_xlfn.XLOOKUP(TB_Vendas[[#This Row],[Código]],TB_Produtos[Código],TB_Produtos[Categoria])</f>
        <v>Vestuário</v>
      </c>
      <c r="F52" s="1">
        <v>2</v>
      </c>
      <c r="G52" s="7">
        <f>VLOOKUP(TB_Vendas[[#This Row],[Código]],Produtos!$B$6:$G$66,6,0)</f>
        <v>142.9</v>
      </c>
      <c r="H52" s="1">
        <f>_xlfn.XMATCH(TB_Vendas[[#This Row],[Categoria]],Desc_Categorias,0)</f>
        <v>3</v>
      </c>
      <c r="I52" s="43">
        <f>VLOOKUP(TB_Vendas[[#This Row],[Qtd]],Desc_TabelaToda,TB_Vendas[[#This Row],[Indice]],TRUE)</f>
        <v>0.15</v>
      </c>
      <c r="J52" s="43" cm="1">
        <f t="array" ref="J52">INDEX(Desc_TabelaToda,MATCH(TB_Vendas[[#This Row],[Qtd]],Desc_Quantidades,1),MATCH(_xlfn.XLOOKUP(TB_Vendas[[#This Row],[Código]],TB_Produtos[[#All],[Código]],TB_Produtos[[#All],[Categoria]]),Desc_Categorias,0))</f>
        <v>0.15</v>
      </c>
      <c r="K52" s="43">
        <f>_xlfn.XLOOKUP(TB_Vendas[[#This Row],[Vendedor]],Vendedores!$A$5:$A$9,Vendedores!$D$5:$D$9)</f>
        <v>0.1</v>
      </c>
      <c r="L52" s="43">
        <f>IF(TB_Vendas[[#This Row],[Desconto 
(Diretão)]]&lt;=TB_Vendas[[#This Row],[Desconto 
(Vendedor)]],TB_Vendas[[#This Row],[Desconto 
(Diretão)]],TB_Vendas[[#This Row],[Desconto 
(Vendedor)]])</f>
        <v>0.1</v>
      </c>
      <c r="M52" s="2">
        <f>TB_Vendas[[#This Row],[Preço Unitário]]*TB_Vendas[[#This Row],[Qtd]]</f>
        <v>285.8</v>
      </c>
      <c r="N52" s="1" t="s">
        <v>116</v>
      </c>
    </row>
    <row r="53" spans="1:14">
      <c r="A53" s="4">
        <f>MONTH(TB_Vendas[[#This Row],[Data]])</f>
        <v>6</v>
      </c>
      <c r="B53" s="4" t="str">
        <f>PROPER(TEXT(DATE(,TB_Vendas[[#This Row],[Nº]],1),"Mmm"))</f>
        <v>Jun</v>
      </c>
      <c r="C53" s="3">
        <v>45086</v>
      </c>
      <c r="D53" s="4" t="s">
        <v>110</v>
      </c>
      <c r="E53" s="4" t="str">
        <f>_xlfn.XLOOKUP(TB_Vendas[[#This Row],[Código]],TB_Produtos[Código],TB_Produtos[Categoria])</f>
        <v>Vestuário</v>
      </c>
      <c r="F53" s="1">
        <v>2</v>
      </c>
      <c r="G53" s="7">
        <f>VLOOKUP(TB_Vendas[[#This Row],[Código]],Produtos!$B$6:$G$66,6,0)</f>
        <v>180</v>
      </c>
      <c r="H53" s="1">
        <f>_xlfn.XMATCH(TB_Vendas[[#This Row],[Categoria]],Desc_Categorias,0)</f>
        <v>3</v>
      </c>
      <c r="I53" s="43">
        <f>VLOOKUP(TB_Vendas[[#This Row],[Qtd]],Desc_TabelaToda,TB_Vendas[[#This Row],[Indice]],TRUE)</f>
        <v>0.15</v>
      </c>
      <c r="J53" s="43" cm="1">
        <f t="array" ref="J53">INDEX(Desc_TabelaToda,MATCH(TB_Vendas[[#This Row],[Qtd]],Desc_Quantidades,1),MATCH(_xlfn.XLOOKUP(TB_Vendas[[#This Row],[Código]],TB_Produtos[[#All],[Código]],TB_Produtos[[#All],[Categoria]]),Desc_Categorias,0))</f>
        <v>0.15</v>
      </c>
      <c r="K53" s="43">
        <f>_xlfn.XLOOKUP(TB_Vendas[[#This Row],[Vendedor]],Vendedores!$A$5:$A$9,Vendedores!$D$5:$D$9)</f>
        <v>0.2</v>
      </c>
      <c r="L53" s="43">
        <f>IF(TB_Vendas[[#This Row],[Desconto 
(Diretão)]]&lt;=TB_Vendas[[#This Row],[Desconto 
(Vendedor)]],TB_Vendas[[#This Row],[Desconto 
(Diretão)]],TB_Vendas[[#This Row],[Desconto 
(Vendedor)]])</f>
        <v>0.15</v>
      </c>
      <c r="M53" s="2">
        <f>TB_Vendas[[#This Row],[Preço Unitário]]*TB_Vendas[[#This Row],[Qtd]]</f>
        <v>360</v>
      </c>
      <c r="N53" s="1" t="s">
        <v>114</v>
      </c>
    </row>
    <row r="54" spans="1:14">
      <c r="A54" s="4">
        <f>MONTH(TB_Vendas[[#This Row],[Data]])</f>
        <v>6</v>
      </c>
      <c r="B54" s="4" t="str">
        <f>PROPER(TEXT(DATE(,TB_Vendas[[#This Row],[Nº]],1),"Mmm"))</f>
        <v>Jun</v>
      </c>
      <c r="C54" s="3">
        <v>45086</v>
      </c>
      <c r="D54" s="4" t="s">
        <v>46</v>
      </c>
      <c r="E54" s="4" t="str">
        <f>_xlfn.XLOOKUP(TB_Vendas[[#This Row],[Código]],TB_Produtos[Código],TB_Produtos[Categoria])</f>
        <v>Vestuário</v>
      </c>
      <c r="F54" s="1">
        <v>2</v>
      </c>
      <c r="G54" s="7">
        <f>VLOOKUP(TB_Vendas[[#This Row],[Código]],Produtos!$B$6:$G$66,6,0)</f>
        <v>42.5</v>
      </c>
      <c r="H54" s="1">
        <f>_xlfn.XMATCH(TB_Vendas[[#This Row],[Categoria]],Desc_Categorias,0)</f>
        <v>3</v>
      </c>
      <c r="I54" s="43">
        <f>VLOOKUP(TB_Vendas[[#This Row],[Qtd]],Desc_TabelaToda,TB_Vendas[[#This Row],[Indice]],TRUE)</f>
        <v>0.15</v>
      </c>
      <c r="J54" s="43" cm="1">
        <f t="array" ref="J54">INDEX(Desc_TabelaToda,MATCH(TB_Vendas[[#This Row],[Qtd]],Desc_Quantidades,1),MATCH(_xlfn.XLOOKUP(TB_Vendas[[#This Row],[Código]],TB_Produtos[[#All],[Código]],TB_Produtos[[#All],[Categoria]]),Desc_Categorias,0))</f>
        <v>0.15</v>
      </c>
      <c r="K54" s="43">
        <f>_xlfn.XLOOKUP(TB_Vendas[[#This Row],[Vendedor]],Vendedores!$A$5:$A$9,Vendedores!$D$5:$D$9)</f>
        <v>0.1</v>
      </c>
      <c r="L54" s="43">
        <f>IF(TB_Vendas[[#This Row],[Desconto 
(Diretão)]]&lt;=TB_Vendas[[#This Row],[Desconto 
(Vendedor)]],TB_Vendas[[#This Row],[Desconto 
(Diretão)]],TB_Vendas[[#This Row],[Desconto 
(Vendedor)]])</f>
        <v>0.1</v>
      </c>
      <c r="M54" s="2">
        <f>TB_Vendas[[#This Row],[Preço Unitário]]*TB_Vendas[[#This Row],[Qtd]]</f>
        <v>85</v>
      </c>
      <c r="N54" s="1" t="s">
        <v>116</v>
      </c>
    </row>
    <row r="55" spans="1:14">
      <c r="A55" s="4">
        <f>MONTH(TB_Vendas[[#This Row],[Data]])</f>
        <v>6</v>
      </c>
      <c r="B55" s="4" t="str">
        <f>PROPER(TEXT(DATE(,TB_Vendas[[#This Row],[Nº]],1),"Mmm"))</f>
        <v>Jun</v>
      </c>
      <c r="C55" s="3">
        <v>45088</v>
      </c>
      <c r="D55" s="4" t="s">
        <v>32</v>
      </c>
      <c r="E55" s="4" t="str">
        <f>_xlfn.XLOOKUP(TB_Vendas[[#This Row],[Código]],TB_Produtos[Código],TB_Produtos[Categoria])</f>
        <v>Vestuário</v>
      </c>
      <c r="F55" s="1">
        <v>1</v>
      </c>
      <c r="G55" s="7">
        <f>VLOOKUP(TB_Vendas[[#This Row],[Código]],Produtos!$B$6:$G$66,6,0)</f>
        <v>65.900000000000006</v>
      </c>
      <c r="H55" s="1">
        <f>_xlfn.XMATCH(TB_Vendas[[#This Row],[Categoria]],Desc_Categorias,0)</f>
        <v>3</v>
      </c>
      <c r="I55" s="43">
        <f>VLOOKUP(TB_Vendas[[#This Row],[Qtd]],Desc_TabelaToda,TB_Vendas[[#This Row],[Indice]],TRUE)</f>
        <v>0.1</v>
      </c>
      <c r="J55" s="43" cm="1">
        <f t="array" ref="J55">INDEX(Desc_TabelaToda,MATCH(TB_Vendas[[#This Row],[Qtd]],Desc_Quantidades,1),MATCH(_xlfn.XLOOKUP(TB_Vendas[[#This Row],[Código]],TB_Produtos[[#All],[Código]],TB_Produtos[[#All],[Categoria]]),Desc_Categorias,0))</f>
        <v>0.1</v>
      </c>
      <c r="K55" s="43">
        <f>_xlfn.XLOOKUP(TB_Vendas[[#This Row],[Vendedor]],Vendedores!$A$5:$A$9,Vendedores!$D$5:$D$9)</f>
        <v>0.15</v>
      </c>
      <c r="L55" s="43">
        <f>IF(TB_Vendas[[#This Row],[Desconto 
(Diretão)]]&lt;=TB_Vendas[[#This Row],[Desconto 
(Vendedor)]],TB_Vendas[[#This Row],[Desconto 
(Diretão)]],TB_Vendas[[#This Row],[Desconto 
(Vendedor)]])</f>
        <v>0.1</v>
      </c>
      <c r="M55" s="2">
        <f>TB_Vendas[[#This Row],[Preço Unitário]]*TB_Vendas[[#This Row],[Qtd]]</f>
        <v>65.900000000000006</v>
      </c>
      <c r="N55" s="1" t="s">
        <v>115</v>
      </c>
    </row>
    <row r="56" spans="1:14">
      <c r="A56" s="4">
        <f>MONTH(TB_Vendas[[#This Row],[Data]])</f>
        <v>6</v>
      </c>
      <c r="B56" s="4" t="str">
        <f>PROPER(TEXT(DATE(,TB_Vendas[[#This Row],[Nº]],1),"Mmm"))</f>
        <v>Jun</v>
      </c>
      <c r="C56" s="3">
        <v>45090</v>
      </c>
      <c r="D56" s="4" t="s">
        <v>107</v>
      </c>
      <c r="E56" s="4" t="str">
        <f>_xlfn.XLOOKUP(TB_Vendas[[#This Row],[Código]],TB_Produtos[Código],TB_Produtos[Categoria])</f>
        <v>Vestuário</v>
      </c>
      <c r="F56" s="1">
        <v>1</v>
      </c>
      <c r="G56" s="7">
        <f>VLOOKUP(TB_Vendas[[#This Row],[Código]],Produtos!$B$6:$G$66,6,0)</f>
        <v>180</v>
      </c>
      <c r="H56" s="1">
        <f>_xlfn.XMATCH(TB_Vendas[[#This Row],[Categoria]],Desc_Categorias,0)</f>
        <v>3</v>
      </c>
      <c r="I56" s="43">
        <f>VLOOKUP(TB_Vendas[[#This Row],[Qtd]],Desc_TabelaToda,TB_Vendas[[#This Row],[Indice]],TRUE)</f>
        <v>0.1</v>
      </c>
      <c r="J56" s="43" cm="1">
        <f t="array" ref="J56">INDEX(Desc_TabelaToda,MATCH(TB_Vendas[[#This Row],[Qtd]],Desc_Quantidades,1),MATCH(_xlfn.XLOOKUP(TB_Vendas[[#This Row],[Código]],TB_Produtos[[#All],[Código]],TB_Produtos[[#All],[Categoria]]),Desc_Categorias,0))</f>
        <v>0.1</v>
      </c>
      <c r="K56" s="43">
        <f>_xlfn.XLOOKUP(TB_Vendas[[#This Row],[Vendedor]],Vendedores!$A$5:$A$9,Vendedores!$D$5:$D$9)</f>
        <v>0.1</v>
      </c>
      <c r="L56" s="43">
        <f>IF(TB_Vendas[[#This Row],[Desconto 
(Diretão)]]&lt;=TB_Vendas[[#This Row],[Desconto 
(Vendedor)]],TB_Vendas[[#This Row],[Desconto 
(Diretão)]],TB_Vendas[[#This Row],[Desconto 
(Vendedor)]])</f>
        <v>0.1</v>
      </c>
      <c r="M56" s="2">
        <f>TB_Vendas[[#This Row],[Preço Unitário]]*TB_Vendas[[#This Row],[Qtd]]</f>
        <v>180</v>
      </c>
      <c r="N56" s="1" t="s">
        <v>116</v>
      </c>
    </row>
    <row r="57" spans="1:14">
      <c r="A57" s="4">
        <f>MONTH(TB_Vendas[[#This Row],[Data]])</f>
        <v>6</v>
      </c>
      <c r="B57" s="4" t="str">
        <f>PROPER(TEXT(DATE(,TB_Vendas[[#This Row],[Nº]],1),"Mmm"))</f>
        <v>Jun</v>
      </c>
      <c r="C57" s="3">
        <v>45093</v>
      </c>
      <c r="D57" s="4" t="s">
        <v>97</v>
      </c>
      <c r="E57" s="4" t="str">
        <f>_xlfn.XLOOKUP(TB_Vendas[[#This Row],[Código]],TB_Produtos[Código],TB_Produtos[Categoria])</f>
        <v>Vestuário</v>
      </c>
      <c r="F57" s="1">
        <v>3</v>
      </c>
      <c r="G57" s="7">
        <f>VLOOKUP(TB_Vendas[[#This Row],[Código]],Produtos!$B$6:$G$66,6,0)</f>
        <v>32.9</v>
      </c>
      <c r="H57" s="1">
        <f>_xlfn.XMATCH(TB_Vendas[[#This Row],[Categoria]],Desc_Categorias,0)</f>
        <v>3</v>
      </c>
      <c r="I57" s="43">
        <f>VLOOKUP(TB_Vendas[[#This Row],[Qtd]],Desc_TabelaToda,TB_Vendas[[#This Row],[Indice]],TRUE)</f>
        <v>0.2</v>
      </c>
      <c r="J57" s="43" cm="1">
        <f t="array" ref="J57">INDEX(Desc_TabelaToda,MATCH(TB_Vendas[[#This Row],[Qtd]],Desc_Quantidades,1),MATCH(_xlfn.XLOOKUP(TB_Vendas[[#This Row],[Código]],TB_Produtos[[#All],[Código]],TB_Produtos[[#All],[Categoria]]),Desc_Categorias,0))</f>
        <v>0.2</v>
      </c>
      <c r="K57" s="43">
        <f>_xlfn.XLOOKUP(TB_Vendas[[#This Row],[Vendedor]],Vendedores!$A$5:$A$9,Vendedores!$D$5:$D$9)</f>
        <v>0.15</v>
      </c>
      <c r="L57" s="43">
        <f>IF(TB_Vendas[[#This Row],[Desconto 
(Diretão)]]&lt;=TB_Vendas[[#This Row],[Desconto 
(Vendedor)]],TB_Vendas[[#This Row],[Desconto 
(Diretão)]],TB_Vendas[[#This Row],[Desconto 
(Vendedor)]])</f>
        <v>0.15</v>
      </c>
      <c r="M57" s="2">
        <f>TB_Vendas[[#This Row],[Preço Unitário]]*TB_Vendas[[#This Row],[Qtd]]</f>
        <v>98.699999999999989</v>
      </c>
      <c r="N57" s="1" t="s">
        <v>115</v>
      </c>
    </row>
    <row r="58" spans="1:14">
      <c r="A58" s="4">
        <f>MONTH(TB_Vendas[[#This Row],[Data]])</f>
        <v>6</v>
      </c>
      <c r="B58" s="4" t="str">
        <f>PROPER(TEXT(DATE(,TB_Vendas[[#This Row],[Nº]],1),"Mmm"))</f>
        <v>Jun</v>
      </c>
      <c r="C58" s="3">
        <v>45093</v>
      </c>
      <c r="D58" s="4" t="s">
        <v>40</v>
      </c>
      <c r="E58" s="4" t="str">
        <f>_xlfn.XLOOKUP(TB_Vendas[[#This Row],[Código]],TB_Produtos[Código],TB_Produtos[Categoria])</f>
        <v>Vestuário</v>
      </c>
      <c r="F58" s="1">
        <v>4</v>
      </c>
      <c r="G58" s="7">
        <f>VLOOKUP(TB_Vendas[[#This Row],[Código]],Produtos!$B$6:$G$66,6,0)</f>
        <v>92.9</v>
      </c>
      <c r="H58" s="1">
        <f>_xlfn.XMATCH(TB_Vendas[[#This Row],[Categoria]],Desc_Categorias,0)</f>
        <v>3</v>
      </c>
      <c r="I58" s="43">
        <f>VLOOKUP(TB_Vendas[[#This Row],[Qtd]],Desc_TabelaToda,TB_Vendas[[#This Row],[Indice]],TRUE)</f>
        <v>0.2</v>
      </c>
      <c r="J58" s="43" cm="1">
        <f t="array" ref="J58">INDEX(Desc_TabelaToda,MATCH(TB_Vendas[[#This Row],[Qtd]],Desc_Quantidades,1),MATCH(_xlfn.XLOOKUP(TB_Vendas[[#This Row],[Código]],TB_Produtos[[#All],[Código]],TB_Produtos[[#All],[Categoria]]),Desc_Categorias,0))</f>
        <v>0.2</v>
      </c>
      <c r="K58" s="43">
        <f>_xlfn.XLOOKUP(TB_Vendas[[#This Row],[Vendedor]],Vendedores!$A$5:$A$9,Vendedores!$D$5:$D$9)</f>
        <v>0.2</v>
      </c>
      <c r="L58" s="43">
        <f>IF(TB_Vendas[[#This Row],[Desconto 
(Diretão)]]&lt;=TB_Vendas[[#This Row],[Desconto 
(Vendedor)]],TB_Vendas[[#This Row],[Desconto 
(Diretão)]],TB_Vendas[[#This Row],[Desconto 
(Vendedor)]])</f>
        <v>0.2</v>
      </c>
      <c r="M58" s="2">
        <f>TB_Vendas[[#This Row],[Preço Unitário]]*TB_Vendas[[#This Row],[Qtd]]</f>
        <v>371.6</v>
      </c>
      <c r="N58" s="1" t="s">
        <v>114</v>
      </c>
    </row>
    <row r="59" spans="1:14">
      <c r="A59" s="4">
        <f>MONTH(TB_Vendas[[#This Row],[Data]])</f>
        <v>6</v>
      </c>
      <c r="B59" s="4" t="str">
        <f>PROPER(TEXT(DATE(,TB_Vendas[[#This Row],[Nº]],1),"Mmm"))</f>
        <v>Jun</v>
      </c>
      <c r="C59" s="3">
        <v>45094</v>
      </c>
      <c r="D59" s="4" t="s">
        <v>64</v>
      </c>
      <c r="E59" s="4" t="str">
        <f>_xlfn.XLOOKUP(TB_Vendas[[#This Row],[Código]],TB_Produtos[Código],TB_Produtos[Categoria])</f>
        <v>Calçado</v>
      </c>
      <c r="F59" s="1">
        <v>2</v>
      </c>
      <c r="G59" s="7">
        <f>VLOOKUP(TB_Vendas[[#This Row],[Código]],Produtos!$B$6:$G$66,6,0)</f>
        <v>259.89999999999998</v>
      </c>
      <c r="H59" s="1">
        <f>_xlfn.XMATCH(TB_Vendas[[#This Row],[Categoria]],Desc_Categorias,0)</f>
        <v>4</v>
      </c>
      <c r="I59" s="43">
        <f>VLOOKUP(TB_Vendas[[#This Row],[Qtd]],Desc_TabelaToda,TB_Vendas[[#This Row],[Indice]],TRUE)</f>
        <v>0.1</v>
      </c>
      <c r="J59" s="43" cm="1">
        <f t="array" ref="J59">INDEX(Desc_TabelaToda,MATCH(TB_Vendas[[#This Row],[Qtd]],Desc_Quantidades,1),MATCH(_xlfn.XLOOKUP(TB_Vendas[[#This Row],[Código]],TB_Produtos[[#All],[Código]],TB_Produtos[[#All],[Categoria]]),Desc_Categorias,0))</f>
        <v>0.1</v>
      </c>
      <c r="K59" s="43">
        <f>_xlfn.XLOOKUP(TB_Vendas[[#This Row],[Vendedor]],Vendedores!$A$5:$A$9,Vendedores!$D$5:$D$9)</f>
        <v>0.1</v>
      </c>
      <c r="L59" s="43">
        <f>IF(TB_Vendas[[#This Row],[Desconto 
(Diretão)]]&lt;=TB_Vendas[[#This Row],[Desconto 
(Vendedor)]],TB_Vendas[[#This Row],[Desconto 
(Diretão)]],TB_Vendas[[#This Row],[Desconto 
(Vendedor)]])</f>
        <v>0.1</v>
      </c>
      <c r="M59" s="2">
        <f>TB_Vendas[[#This Row],[Preço Unitário]]*TB_Vendas[[#This Row],[Qtd]]</f>
        <v>519.79999999999995</v>
      </c>
      <c r="N59" s="1" t="s">
        <v>116</v>
      </c>
    </row>
    <row r="60" spans="1:14">
      <c r="A60" s="4">
        <f>MONTH(TB_Vendas[[#This Row],[Data]])</f>
        <v>6</v>
      </c>
      <c r="B60" s="4" t="str">
        <f>PROPER(TEXT(DATE(,TB_Vendas[[#This Row],[Nº]],1),"Mmm"))</f>
        <v>Jun</v>
      </c>
      <c r="C60" s="3">
        <v>45097</v>
      </c>
      <c r="D60" s="4" t="s">
        <v>55</v>
      </c>
      <c r="E60" s="4" t="str">
        <f>_xlfn.XLOOKUP(TB_Vendas[[#This Row],[Código]],TB_Produtos[Código],TB_Produtos[Categoria])</f>
        <v>Vestuário</v>
      </c>
      <c r="F60" s="1">
        <v>1</v>
      </c>
      <c r="G60" s="7">
        <f>VLOOKUP(TB_Vendas[[#This Row],[Código]],Produtos!$B$6:$G$66,6,0)</f>
        <v>259.89999999999998</v>
      </c>
      <c r="H60" s="1">
        <f>_xlfn.XMATCH(TB_Vendas[[#This Row],[Categoria]],Desc_Categorias,0)</f>
        <v>3</v>
      </c>
      <c r="I60" s="43">
        <f>VLOOKUP(TB_Vendas[[#This Row],[Qtd]],Desc_TabelaToda,TB_Vendas[[#This Row],[Indice]],TRUE)</f>
        <v>0.1</v>
      </c>
      <c r="J60" s="43" cm="1">
        <f t="array" ref="J60">INDEX(Desc_TabelaToda,MATCH(TB_Vendas[[#This Row],[Qtd]],Desc_Quantidades,1),MATCH(_xlfn.XLOOKUP(TB_Vendas[[#This Row],[Código]],TB_Produtos[[#All],[Código]],TB_Produtos[[#All],[Categoria]]),Desc_Categorias,0))</f>
        <v>0.1</v>
      </c>
      <c r="K60" s="43">
        <f>_xlfn.XLOOKUP(TB_Vendas[[#This Row],[Vendedor]],Vendedores!$A$5:$A$9,Vendedores!$D$5:$D$9)</f>
        <v>0.15</v>
      </c>
      <c r="L60" s="43">
        <f>IF(TB_Vendas[[#This Row],[Desconto 
(Diretão)]]&lt;=TB_Vendas[[#This Row],[Desconto 
(Vendedor)]],TB_Vendas[[#This Row],[Desconto 
(Diretão)]],TB_Vendas[[#This Row],[Desconto 
(Vendedor)]])</f>
        <v>0.1</v>
      </c>
      <c r="M60" s="2">
        <f>TB_Vendas[[#This Row],[Preço Unitário]]*TB_Vendas[[#This Row],[Qtd]]</f>
        <v>259.89999999999998</v>
      </c>
      <c r="N60" s="1" t="s">
        <v>118</v>
      </c>
    </row>
    <row r="61" spans="1:14">
      <c r="A61" s="4">
        <f>MONTH(TB_Vendas[[#This Row],[Data]])</f>
        <v>6</v>
      </c>
      <c r="B61" s="4" t="str">
        <f>PROPER(TEXT(DATE(,TB_Vendas[[#This Row],[Nº]],1),"Mmm"))</f>
        <v>Jun</v>
      </c>
      <c r="C61" s="3">
        <v>45105</v>
      </c>
      <c r="D61" s="4" t="s">
        <v>46</v>
      </c>
      <c r="E61" s="4" t="str">
        <f>_xlfn.XLOOKUP(TB_Vendas[[#This Row],[Código]],TB_Produtos[Código],TB_Produtos[Categoria])</f>
        <v>Vestuário</v>
      </c>
      <c r="F61" s="1">
        <v>5</v>
      </c>
      <c r="G61" s="7">
        <f>VLOOKUP(TB_Vendas[[#This Row],[Código]],Produtos!$B$6:$G$66,6,0)</f>
        <v>42.5</v>
      </c>
      <c r="H61" s="1">
        <f>_xlfn.XMATCH(TB_Vendas[[#This Row],[Categoria]],Desc_Categorias,0)</f>
        <v>3</v>
      </c>
      <c r="I61" s="43">
        <f>VLOOKUP(TB_Vendas[[#This Row],[Qtd]],Desc_TabelaToda,TB_Vendas[[#This Row],[Indice]],TRUE)</f>
        <v>0.25</v>
      </c>
      <c r="J61" s="43" cm="1">
        <f t="array" ref="J61">INDEX(Desc_TabelaToda,MATCH(TB_Vendas[[#This Row],[Qtd]],Desc_Quantidades,1),MATCH(_xlfn.XLOOKUP(TB_Vendas[[#This Row],[Código]],TB_Produtos[[#All],[Código]],TB_Produtos[[#All],[Categoria]]),Desc_Categorias,0))</f>
        <v>0.25</v>
      </c>
      <c r="K61" s="43">
        <f>_xlfn.XLOOKUP(TB_Vendas[[#This Row],[Vendedor]],Vendedores!$A$5:$A$9,Vendedores!$D$5:$D$9)</f>
        <v>0.15</v>
      </c>
      <c r="L61" s="43">
        <f>IF(TB_Vendas[[#This Row],[Desconto 
(Diretão)]]&lt;=TB_Vendas[[#This Row],[Desconto 
(Vendedor)]],TB_Vendas[[#This Row],[Desconto 
(Diretão)]],TB_Vendas[[#This Row],[Desconto 
(Vendedor)]])</f>
        <v>0.15</v>
      </c>
      <c r="M61" s="2">
        <f>TB_Vendas[[#This Row],[Preço Unitário]]*TB_Vendas[[#This Row],[Qtd]]</f>
        <v>212.5</v>
      </c>
      <c r="N61" s="1" t="s">
        <v>118</v>
      </c>
    </row>
    <row r="62" spans="1:14">
      <c r="A62" s="4">
        <f>MONTH(TB_Vendas[[#This Row],[Data]])</f>
        <v>6</v>
      </c>
      <c r="B62" s="4" t="str">
        <f>PROPER(TEXT(DATE(,TB_Vendas[[#This Row],[Nº]],1),"Mmm"))</f>
        <v>Jun</v>
      </c>
      <c r="C62" s="3">
        <v>45105</v>
      </c>
      <c r="D62" s="4" t="s">
        <v>97</v>
      </c>
      <c r="E62" s="4" t="str">
        <f>_xlfn.XLOOKUP(TB_Vendas[[#This Row],[Código]],TB_Produtos[Código],TB_Produtos[Categoria])</f>
        <v>Vestuário</v>
      </c>
      <c r="F62" s="1">
        <v>2</v>
      </c>
      <c r="G62" s="7">
        <f>VLOOKUP(TB_Vendas[[#This Row],[Código]],Produtos!$B$6:$G$66,6,0)</f>
        <v>32.9</v>
      </c>
      <c r="H62" s="1">
        <f>_xlfn.XMATCH(TB_Vendas[[#This Row],[Categoria]],Desc_Categorias,0)</f>
        <v>3</v>
      </c>
      <c r="I62" s="43">
        <f>VLOOKUP(TB_Vendas[[#This Row],[Qtd]],Desc_TabelaToda,TB_Vendas[[#This Row],[Indice]],TRUE)</f>
        <v>0.15</v>
      </c>
      <c r="J62" s="43" cm="1">
        <f t="array" ref="J62">INDEX(Desc_TabelaToda,MATCH(TB_Vendas[[#This Row],[Qtd]],Desc_Quantidades,1),MATCH(_xlfn.XLOOKUP(TB_Vendas[[#This Row],[Código]],TB_Produtos[[#All],[Código]],TB_Produtos[[#All],[Categoria]]),Desc_Categorias,0))</f>
        <v>0.15</v>
      </c>
      <c r="K62" s="43">
        <f>_xlfn.XLOOKUP(TB_Vendas[[#This Row],[Vendedor]],Vendedores!$A$5:$A$9,Vendedores!$D$5:$D$9)</f>
        <v>0.15</v>
      </c>
      <c r="L62" s="43">
        <f>IF(TB_Vendas[[#This Row],[Desconto 
(Diretão)]]&lt;=TB_Vendas[[#This Row],[Desconto 
(Vendedor)]],TB_Vendas[[#This Row],[Desconto 
(Diretão)]],TB_Vendas[[#This Row],[Desconto 
(Vendedor)]])</f>
        <v>0.15</v>
      </c>
      <c r="M62" s="2">
        <f>TB_Vendas[[#This Row],[Preço Unitário]]*TB_Vendas[[#This Row],[Qtd]]</f>
        <v>65.8</v>
      </c>
      <c r="N62" s="1" t="s">
        <v>118</v>
      </c>
    </row>
    <row r="63" spans="1:14">
      <c r="A63" s="4">
        <f>MONTH(TB_Vendas[[#This Row],[Data]])</f>
        <v>6</v>
      </c>
      <c r="B63" s="4" t="str">
        <f>PROPER(TEXT(DATE(,TB_Vendas[[#This Row],[Nº]],1),"Mmm"))</f>
        <v>Jun</v>
      </c>
      <c r="C63" s="3">
        <v>45106</v>
      </c>
      <c r="D63" s="4" t="s">
        <v>40</v>
      </c>
      <c r="E63" s="4" t="str">
        <f>_xlfn.XLOOKUP(TB_Vendas[[#This Row],[Código]],TB_Produtos[Código],TB_Produtos[Categoria])</f>
        <v>Vestuário</v>
      </c>
      <c r="F63" s="1">
        <v>3</v>
      </c>
      <c r="G63" s="7">
        <f>VLOOKUP(TB_Vendas[[#This Row],[Código]],Produtos!$B$6:$G$66,6,0)</f>
        <v>92.9</v>
      </c>
      <c r="H63" s="1">
        <f>_xlfn.XMATCH(TB_Vendas[[#This Row],[Categoria]],Desc_Categorias,0)</f>
        <v>3</v>
      </c>
      <c r="I63" s="43">
        <f>VLOOKUP(TB_Vendas[[#This Row],[Qtd]],Desc_TabelaToda,TB_Vendas[[#This Row],[Indice]],TRUE)</f>
        <v>0.2</v>
      </c>
      <c r="J63" s="43" cm="1">
        <f t="array" ref="J63">INDEX(Desc_TabelaToda,MATCH(TB_Vendas[[#This Row],[Qtd]],Desc_Quantidades,1),MATCH(_xlfn.XLOOKUP(TB_Vendas[[#This Row],[Código]],TB_Produtos[[#All],[Código]],TB_Produtos[[#All],[Categoria]]),Desc_Categorias,0))</f>
        <v>0.2</v>
      </c>
      <c r="K63" s="43">
        <f>_xlfn.XLOOKUP(TB_Vendas[[#This Row],[Vendedor]],Vendedores!$A$5:$A$9,Vendedores!$D$5:$D$9)</f>
        <v>0.2</v>
      </c>
      <c r="L63" s="43">
        <f>IF(TB_Vendas[[#This Row],[Desconto 
(Diretão)]]&lt;=TB_Vendas[[#This Row],[Desconto 
(Vendedor)]],TB_Vendas[[#This Row],[Desconto 
(Diretão)]],TB_Vendas[[#This Row],[Desconto 
(Vendedor)]])</f>
        <v>0.2</v>
      </c>
      <c r="M63" s="2">
        <f>TB_Vendas[[#This Row],[Preço Unitário]]*TB_Vendas[[#This Row],[Qtd]]</f>
        <v>278.70000000000005</v>
      </c>
      <c r="N63" s="1" t="s">
        <v>114</v>
      </c>
    </row>
    <row r="64" spans="1:14">
      <c r="A64" s="1">
        <f>MONTH(TB_Vendas[[#This Row],[Data]])</f>
        <v>6</v>
      </c>
      <c r="B64" s="4" t="str">
        <f>PROPER(TEXT(DATE(,TB_Vendas[[#This Row],[Nº]],1),"Mmm"))</f>
        <v>Jun</v>
      </c>
      <c r="C64" s="3">
        <v>45107</v>
      </c>
      <c r="D64" s="4" t="s">
        <v>47</v>
      </c>
      <c r="E64" s="4" t="str">
        <f>_xlfn.XLOOKUP(TB_Vendas[[#This Row],[Código]],TB_Produtos[Código],TB_Produtos[Categoria])</f>
        <v>Vestuário</v>
      </c>
      <c r="F64" s="1">
        <v>10</v>
      </c>
      <c r="G64" s="7">
        <f>VLOOKUP(TB_Vendas[[#This Row],[Código]],Produtos!$B$6:$G$66,6,0)</f>
        <v>25.9</v>
      </c>
      <c r="H64" s="1">
        <f>_xlfn.XMATCH(TB_Vendas[[#This Row],[Categoria]],Desc_Categorias,0)</f>
        <v>3</v>
      </c>
      <c r="I64" s="43">
        <f>VLOOKUP(TB_Vendas[[#This Row],[Qtd]],Desc_TabelaToda,TB_Vendas[[#This Row],[Indice]],TRUE)</f>
        <v>0.3</v>
      </c>
      <c r="J64" s="43" cm="1">
        <f t="array" ref="J64">INDEX(Desc_TabelaToda,MATCH(TB_Vendas[[#This Row],[Qtd]],Desc_Quantidades,1),MATCH(_xlfn.XLOOKUP(TB_Vendas[[#This Row],[Código]],TB_Produtos[[#All],[Código]],TB_Produtos[[#All],[Categoria]]),Desc_Categorias,0))</f>
        <v>0.3</v>
      </c>
      <c r="K64" s="43">
        <f>_xlfn.XLOOKUP(TB_Vendas[[#This Row],[Vendedor]],Vendedores!$A$5:$A$9,Vendedores!$D$5:$D$9)</f>
        <v>0.2</v>
      </c>
      <c r="L64" s="43">
        <f>IF(TB_Vendas[[#This Row],[Desconto 
(Diretão)]]&lt;=TB_Vendas[[#This Row],[Desconto 
(Vendedor)]],TB_Vendas[[#This Row],[Desconto 
(Diretão)]],TB_Vendas[[#This Row],[Desconto 
(Vendedor)]])</f>
        <v>0.2</v>
      </c>
      <c r="M64" s="2">
        <f>TB_Vendas[[#This Row],[Preço Unitário]]*TB_Vendas[[#This Row],[Qtd]]</f>
        <v>259</v>
      </c>
      <c r="N64" s="1" t="s">
        <v>114</v>
      </c>
    </row>
    <row r="65" spans="1:14">
      <c r="A65" s="1">
        <f>MONTH(TB_Vendas[[#This Row],[Data]])</f>
        <v>7</v>
      </c>
      <c r="B65" s="4" t="str">
        <f>PROPER(TEXT(DATE(,TB_Vendas[[#This Row],[Nº]],1),"Mmm"))</f>
        <v>Jul</v>
      </c>
      <c r="C65" s="3">
        <v>45112</v>
      </c>
      <c r="D65" s="4" t="s">
        <v>89</v>
      </c>
      <c r="E65" s="4" t="str">
        <f>_xlfn.XLOOKUP(TB_Vendas[[#This Row],[Código]],TB_Produtos[Código],TB_Produtos[Categoria])</f>
        <v>Vestuário</v>
      </c>
      <c r="F65" s="1">
        <v>1</v>
      </c>
      <c r="G65" s="7">
        <f>VLOOKUP(TB_Vendas[[#This Row],[Código]],Produtos!$B$6:$G$66,6,0)</f>
        <v>72.5</v>
      </c>
      <c r="H65" s="1">
        <f>_xlfn.XMATCH(TB_Vendas[[#This Row],[Categoria]],Desc_Categorias,0)</f>
        <v>3</v>
      </c>
      <c r="I65" s="43">
        <f>VLOOKUP(TB_Vendas[[#This Row],[Qtd]],Desc_TabelaToda,TB_Vendas[[#This Row],[Indice]],TRUE)</f>
        <v>0.1</v>
      </c>
      <c r="J65" s="43" cm="1">
        <f t="array" ref="J65">INDEX(Desc_TabelaToda,MATCH(TB_Vendas[[#This Row],[Qtd]],Desc_Quantidades,1),MATCH(_xlfn.XLOOKUP(TB_Vendas[[#This Row],[Código]],TB_Produtos[[#All],[Código]],TB_Produtos[[#All],[Categoria]]),Desc_Categorias,0))</f>
        <v>0.1</v>
      </c>
      <c r="K65" s="43">
        <f>_xlfn.XLOOKUP(TB_Vendas[[#This Row],[Vendedor]],Vendedores!$A$5:$A$9,Vendedores!$D$5:$D$9)</f>
        <v>0.15</v>
      </c>
      <c r="L65" s="43">
        <f>IF(TB_Vendas[[#This Row],[Desconto 
(Diretão)]]&lt;=TB_Vendas[[#This Row],[Desconto 
(Vendedor)]],TB_Vendas[[#This Row],[Desconto 
(Diretão)]],TB_Vendas[[#This Row],[Desconto 
(Vendedor)]])</f>
        <v>0.1</v>
      </c>
      <c r="M65" s="2">
        <f>TB_Vendas[[#This Row],[Preço Unitário]]*TB_Vendas[[#This Row],[Qtd]]</f>
        <v>72.5</v>
      </c>
      <c r="N65" s="1" t="s">
        <v>115</v>
      </c>
    </row>
    <row r="66" spans="1:14">
      <c r="A66" s="1">
        <f>MONTH(TB_Vendas[[#This Row],[Data]])</f>
        <v>7</v>
      </c>
      <c r="B66" s="4" t="str">
        <f>PROPER(TEXT(DATE(,TB_Vendas[[#This Row],[Nº]],1),"Mmm"))</f>
        <v>Jul</v>
      </c>
      <c r="C66" s="3">
        <v>45113</v>
      </c>
      <c r="D66" s="4" t="s">
        <v>52</v>
      </c>
      <c r="E66" s="4" t="str">
        <f>_xlfn.XLOOKUP(TB_Vendas[[#This Row],[Código]],TB_Produtos[Código],TB_Produtos[Categoria])</f>
        <v>Vestuário</v>
      </c>
      <c r="F66" s="1">
        <v>4</v>
      </c>
      <c r="G66" s="7">
        <f>VLOOKUP(TB_Vendas[[#This Row],[Código]],Produtos!$B$6:$G$66,6,0)</f>
        <v>302.89999999999998</v>
      </c>
      <c r="H66" s="1">
        <f>_xlfn.XMATCH(TB_Vendas[[#This Row],[Categoria]],Desc_Categorias,0)</f>
        <v>3</v>
      </c>
      <c r="I66" s="43">
        <f>VLOOKUP(TB_Vendas[[#This Row],[Qtd]],Desc_TabelaToda,TB_Vendas[[#This Row],[Indice]],TRUE)</f>
        <v>0.2</v>
      </c>
      <c r="J66" s="43" cm="1">
        <f t="array" ref="J66">INDEX(Desc_TabelaToda,MATCH(TB_Vendas[[#This Row],[Qtd]],Desc_Quantidades,1),MATCH(_xlfn.XLOOKUP(TB_Vendas[[#This Row],[Código]],TB_Produtos[[#All],[Código]],TB_Produtos[[#All],[Categoria]]),Desc_Categorias,0))</f>
        <v>0.2</v>
      </c>
      <c r="K66" s="43">
        <f>_xlfn.XLOOKUP(TB_Vendas[[#This Row],[Vendedor]],Vendedores!$A$5:$A$9,Vendedores!$D$5:$D$9)</f>
        <v>0.15</v>
      </c>
      <c r="L66" s="43">
        <f>IF(TB_Vendas[[#This Row],[Desconto 
(Diretão)]]&lt;=TB_Vendas[[#This Row],[Desconto 
(Vendedor)]],TB_Vendas[[#This Row],[Desconto 
(Diretão)]],TB_Vendas[[#This Row],[Desconto 
(Vendedor)]])</f>
        <v>0.15</v>
      </c>
      <c r="M66" s="2">
        <f>TB_Vendas[[#This Row],[Preço Unitário]]*TB_Vendas[[#This Row],[Qtd]]</f>
        <v>1211.5999999999999</v>
      </c>
      <c r="N66" s="1" t="s">
        <v>118</v>
      </c>
    </row>
    <row r="67" spans="1:14">
      <c r="A67" s="1">
        <f>MONTH(TB_Vendas[[#This Row],[Data]])</f>
        <v>7</v>
      </c>
      <c r="B67" s="4" t="str">
        <f>PROPER(TEXT(DATE(,TB_Vendas[[#This Row],[Nº]],1),"Mmm"))</f>
        <v>Jul</v>
      </c>
      <c r="C67" s="3">
        <v>45114</v>
      </c>
      <c r="D67" s="4" t="s">
        <v>94</v>
      </c>
      <c r="E67" s="4" t="str">
        <f>_xlfn.XLOOKUP(TB_Vendas[[#This Row],[Código]],TB_Produtos[Código],TB_Produtos[Categoria])</f>
        <v>Vestuário</v>
      </c>
      <c r="F67" s="1">
        <v>8</v>
      </c>
      <c r="G67" s="7">
        <f>VLOOKUP(TB_Vendas[[#This Row],[Código]],Produtos!$B$6:$G$66,6,0)</f>
        <v>289.89999999999998</v>
      </c>
      <c r="H67" s="1">
        <f>_xlfn.XMATCH(TB_Vendas[[#This Row],[Categoria]],Desc_Categorias,0)</f>
        <v>3</v>
      </c>
      <c r="I67" s="43">
        <f>VLOOKUP(TB_Vendas[[#This Row],[Qtd]],Desc_TabelaToda,TB_Vendas[[#This Row],[Indice]],TRUE)</f>
        <v>0.25</v>
      </c>
      <c r="J67" s="43" cm="1">
        <f t="array" ref="J67">INDEX(Desc_TabelaToda,MATCH(TB_Vendas[[#This Row],[Qtd]],Desc_Quantidades,1),MATCH(_xlfn.XLOOKUP(TB_Vendas[[#This Row],[Código]],TB_Produtos[[#All],[Código]],TB_Produtos[[#All],[Categoria]]),Desc_Categorias,0))</f>
        <v>0.25</v>
      </c>
      <c r="K67" s="43">
        <f>_xlfn.XLOOKUP(TB_Vendas[[#This Row],[Vendedor]],Vendedores!$A$5:$A$9,Vendedores!$D$5:$D$9)</f>
        <v>0.2</v>
      </c>
      <c r="L67" s="43">
        <f>IF(TB_Vendas[[#This Row],[Desconto 
(Diretão)]]&lt;=TB_Vendas[[#This Row],[Desconto 
(Vendedor)]],TB_Vendas[[#This Row],[Desconto 
(Diretão)]],TB_Vendas[[#This Row],[Desconto 
(Vendedor)]])</f>
        <v>0.2</v>
      </c>
      <c r="M67" s="2">
        <f>TB_Vendas[[#This Row],[Preço Unitário]]*TB_Vendas[[#This Row],[Qtd]]</f>
        <v>2319.1999999999998</v>
      </c>
      <c r="N67" s="1" t="s">
        <v>114</v>
      </c>
    </row>
    <row r="68" spans="1:14">
      <c r="A68" s="1">
        <f>MONTH(TB_Vendas[[#This Row],[Data]])</f>
        <v>7</v>
      </c>
      <c r="B68" s="4" t="str">
        <f>PROPER(TEXT(DATE(,TB_Vendas[[#This Row],[Nº]],1),"Mmm"))</f>
        <v>Jul</v>
      </c>
      <c r="C68" s="3">
        <v>45119</v>
      </c>
      <c r="D68" s="4" t="s">
        <v>85</v>
      </c>
      <c r="E68" s="4" t="str">
        <f>_xlfn.XLOOKUP(TB_Vendas[[#This Row],[Código]],TB_Produtos[Código],TB_Produtos[Categoria])</f>
        <v>Vestuário</v>
      </c>
      <c r="F68" s="1">
        <v>2</v>
      </c>
      <c r="G68" s="7">
        <f>VLOOKUP(TB_Vendas[[#This Row],[Código]],Produtos!$B$6:$G$66,6,0)</f>
        <v>54.9</v>
      </c>
      <c r="H68" s="1">
        <f>_xlfn.XMATCH(TB_Vendas[[#This Row],[Categoria]],Desc_Categorias,0)</f>
        <v>3</v>
      </c>
      <c r="I68" s="43">
        <f>VLOOKUP(TB_Vendas[[#This Row],[Qtd]],Desc_TabelaToda,TB_Vendas[[#This Row],[Indice]],TRUE)</f>
        <v>0.15</v>
      </c>
      <c r="J68" s="43" cm="1">
        <f t="array" ref="J68">INDEX(Desc_TabelaToda,MATCH(TB_Vendas[[#This Row],[Qtd]],Desc_Quantidades,1),MATCH(_xlfn.XLOOKUP(TB_Vendas[[#This Row],[Código]],TB_Produtos[[#All],[Código]],TB_Produtos[[#All],[Categoria]]),Desc_Categorias,0))</f>
        <v>0.15</v>
      </c>
      <c r="K68" s="43">
        <f>_xlfn.XLOOKUP(TB_Vendas[[#This Row],[Vendedor]],Vendedores!$A$5:$A$9,Vendedores!$D$5:$D$9)</f>
        <v>0.2</v>
      </c>
      <c r="L68" s="43">
        <f>IF(TB_Vendas[[#This Row],[Desconto 
(Diretão)]]&lt;=TB_Vendas[[#This Row],[Desconto 
(Vendedor)]],TB_Vendas[[#This Row],[Desconto 
(Diretão)]],TB_Vendas[[#This Row],[Desconto 
(Vendedor)]])</f>
        <v>0.15</v>
      </c>
      <c r="M68" s="2">
        <f>TB_Vendas[[#This Row],[Preço Unitário]]*TB_Vendas[[#This Row],[Qtd]]</f>
        <v>109.8</v>
      </c>
      <c r="N68" s="1" t="s">
        <v>114</v>
      </c>
    </row>
    <row r="69" spans="1:14">
      <c r="A69" s="1">
        <f>MONTH(TB_Vendas[[#This Row],[Data]])</f>
        <v>7</v>
      </c>
      <c r="B69" s="4" t="str">
        <f>PROPER(TEXT(DATE(,TB_Vendas[[#This Row],[Nº]],1),"Mmm"))</f>
        <v>Jul</v>
      </c>
      <c r="C69" s="3">
        <v>45120</v>
      </c>
      <c r="D69" s="4" t="s">
        <v>45</v>
      </c>
      <c r="E69" s="4" t="str">
        <f>_xlfn.XLOOKUP(TB_Vendas[[#This Row],[Código]],TB_Produtos[Código],TB_Produtos[Categoria])</f>
        <v>Vestuário</v>
      </c>
      <c r="F69" s="1">
        <v>2</v>
      </c>
      <c r="G69" s="7">
        <f>VLOOKUP(TB_Vendas[[#This Row],[Código]],Produtos!$B$6:$G$66,6,0)</f>
        <v>39.9</v>
      </c>
      <c r="H69" s="1">
        <f>_xlfn.XMATCH(TB_Vendas[[#This Row],[Categoria]],Desc_Categorias,0)</f>
        <v>3</v>
      </c>
      <c r="I69" s="43">
        <f>VLOOKUP(TB_Vendas[[#This Row],[Qtd]],Desc_TabelaToda,TB_Vendas[[#This Row],[Indice]],TRUE)</f>
        <v>0.15</v>
      </c>
      <c r="J69" s="43" cm="1">
        <f t="array" ref="J69">INDEX(Desc_TabelaToda,MATCH(TB_Vendas[[#This Row],[Qtd]],Desc_Quantidades,1),MATCH(_xlfn.XLOOKUP(TB_Vendas[[#This Row],[Código]],TB_Produtos[[#All],[Código]],TB_Produtos[[#All],[Categoria]]),Desc_Categorias,0))</f>
        <v>0.15</v>
      </c>
      <c r="K69" s="43">
        <f>_xlfn.XLOOKUP(TB_Vendas[[#This Row],[Vendedor]],Vendedores!$A$5:$A$9,Vendedores!$D$5:$D$9)</f>
        <v>0.15</v>
      </c>
      <c r="L69" s="43">
        <f>IF(TB_Vendas[[#This Row],[Desconto 
(Diretão)]]&lt;=TB_Vendas[[#This Row],[Desconto 
(Vendedor)]],TB_Vendas[[#This Row],[Desconto 
(Diretão)]],TB_Vendas[[#This Row],[Desconto 
(Vendedor)]])</f>
        <v>0.15</v>
      </c>
      <c r="M69" s="2">
        <f>TB_Vendas[[#This Row],[Preço Unitário]]*TB_Vendas[[#This Row],[Qtd]]</f>
        <v>79.8</v>
      </c>
      <c r="N69" s="1" t="s">
        <v>118</v>
      </c>
    </row>
    <row r="70" spans="1:14">
      <c r="A70" s="1">
        <f>MONTH(TB_Vendas[[#This Row],[Data]])</f>
        <v>7</v>
      </c>
      <c r="B70" s="4" t="str">
        <f>PROPER(TEXT(DATE(,TB_Vendas[[#This Row],[Nº]],1),"Mmm"))</f>
        <v>Jul</v>
      </c>
      <c r="C70" s="3">
        <v>45124</v>
      </c>
      <c r="D70" s="4" t="s">
        <v>86</v>
      </c>
      <c r="E70" s="4" t="str">
        <f>_xlfn.XLOOKUP(TB_Vendas[[#This Row],[Código]],TB_Produtos[Código],TB_Produtos[Categoria])</f>
        <v>Vestuário</v>
      </c>
      <c r="F70" s="1">
        <v>7</v>
      </c>
      <c r="G70" s="7">
        <f>VLOOKUP(TB_Vendas[[#This Row],[Código]],Produtos!$B$6:$G$66,6,0)</f>
        <v>54.9</v>
      </c>
      <c r="H70" s="1">
        <f>_xlfn.XMATCH(TB_Vendas[[#This Row],[Categoria]],Desc_Categorias,0)</f>
        <v>3</v>
      </c>
      <c r="I70" s="43">
        <f>VLOOKUP(TB_Vendas[[#This Row],[Qtd]],Desc_TabelaToda,TB_Vendas[[#This Row],[Indice]],TRUE)</f>
        <v>0.25</v>
      </c>
      <c r="J70" s="43" cm="1">
        <f t="array" ref="J70">INDEX(Desc_TabelaToda,MATCH(TB_Vendas[[#This Row],[Qtd]],Desc_Quantidades,1),MATCH(_xlfn.XLOOKUP(TB_Vendas[[#This Row],[Código]],TB_Produtos[[#All],[Código]],TB_Produtos[[#All],[Categoria]]),Desc_Categorias,0))</f>
        <v>0.25</v>
      </c>
      <c r="K70" s="43">
        <f>_xlfn.XLOOKUP(TB_Vendas[[#This Row],[Vendedor]],Vendedores!$A$5:$A$9,Vendedores!$D$5:$D$9)</f>
        <v>0.2</v>
      </c>
      <c r="L70" s="43">
        <f>IF(TB_Vendas[[#This Row],[Desconto 
(Diretão)]]&lt;=TB_Vendas[[#This Row],[Desconto 
(Vendedor)]],TB_Vendas[[#This Row],[Desconto 
(Diretão)]],TB_Vendas[[#This Row],[Desconto 
(Vendedor)]])</f>
        <v>0.2</v>
      </c>
      <c r="M70" s="2">
        <f>TB_Vendas[[#This Row],[Preço Unitário]]*TB_Vendas[[#This Row],[Qtd]]</f>
        <v>384.3</v>
      </c>
      <c r="N70" s="1" t="s">
        <v>117</v>
      </c>
    </row>
    <row r="71" spans="1:14">
      <c r="A71" s="1">
        <f>MONTH(TB_Vendas[[#This Row],[Data]])</f>
        <v>7</v>
      </c>
      <c r="B71" s="4" t="str">
        <f>PROPER(TEXT(DATE(,TB_Vendas[[#This Row],[Nº]],1),"Mmm"))</f>
        <v>Jul</v>
      </c>
      <c r="C71" s="3">
        <v>45130</v>
      </c>
      <c r="D71" s="4" t="s">
        <v>51</v>
      </c>
      <c r="E71" s="4" t="str">
        <f>_xlfn.XLOOKUP(TB_Vendas[[#This Row],[Código]],TB_Produtos[Código],TB_Produtos[Categoria])</f>
        <v>Vestuário</v>
      </c>
      <c r="F71" s="1">
        <v>4</v>
      </c>
      <c r="G71" s="7">
        <f>VLOOKUP(TB_Vendas[[#This Row],[Código]],Produtos!$B$6:$G$66,6,0)</f>
        <v>299.89999999999998</v>
      </c>
      <c r="H71" s="1">
        <f>_xlfn.XMATCH(TB_Vendas[[#This Row],[Categoria]],Desc_Categorias,0)</f>
        <v>3</v>
      </c>
      <c r="I71" s="43">
        <f>VLOOKUP(TB_Vendas[[#This Row],[Qtd]],Desc_TabelaToda,TB_Vendas[[#This Row],[Indice]],TRUE)</f>
        <v>0.2</v>
      </c>
      <c r="J71" s="43" cm="1">
        <f t="array" ref="J71">INDEX(Desc_TabelaToda,MATCH(TB_Vendas[[#This Row],[Qtd]],Desc_Quantidades,1),MATCH(_xlfn.XLOOKUP(TB_Vendas[[#This Row],[Código]],TB_Produtos[[#All],[Código]],TB_Produtos[[#All],[Categoria]]),Desc_Categorias,0))</f>
        <v>0.2</v>
      </c>
      <c r="K71" s="43">
        <f>_xlfn.XLOOKUP(TB_Vendas[[#This Row],[Vendedor]],Vendedores!$A$5:$A$9,Vendedores!$D$5:$D$9)</f>
        <v>0.15</v>
      </c>
      <c r="L71" s="43">
        <f>IF(TB_Vendas[[#This Row],[Desconto 
(Diretão)]]&lt;=TB_Vendas[[#This Row],[Desconto 
(Vendedor)]],TB_Vendas[[#This Row],[Desconto 
(Diretão)]],TB_Vendas[[#This Row],[Desconto 
(Vendedor)]])</f>
        <v>0.15</v>
      </c>
      <c r="M71" s="2">
        <f>TB_Vendas[[#This Row],[Preço Unitário]]*TB_Vendas[[#This Row],[Qtd]]</f>
        <v>1199.5999999999999</v>
      </c>
      <c r="N71" s="1" t="s">
        <v>118</v>
      </c>
    </row>
    <row r="72" spans="1:14">
      <c r="A72" s="1">
        <f>MONTH(TB_Vendas[[#This Row],[Data]])</f>
        <v>7</v>
      </c>
      <c r="B72" s="4" t="str">
        <f>PROPER(TEXT(DATE(,TB_Vendas[[#This Row],[Nº]],1),"Mmm"))</f>
        <v>Jul</v>
      </c>
      <c r="C72" s="3">
        <v>45133</v>
      </c>
      <c r="D72" s="4" t="s">
        <v>55</v>
      </c>
      <c r="E72" s="4" t="str">
        <f>_xlfn.XLOOKUP(TB_Vendas[[#This Row],[Código]],TB_Produtos[Código],TB_Produtos[Categoria])</f>
        <v>Vestuário</v>
      </c>
      <c r="F72" s="1">
        <v>3</v>
      </c>
      <c r="G72" s="7">
        <f>VLOOKUP(TB_Vendas[[#This Row],[Código]],Produtos!$B$6:$G$66,6,0)</f>
        <v>259.89999999999998</v>
      </c>
      <c r="H72" s="1">
        <f>_xlfn.XMATCH(TB_Vendas[[#This Row],[Categoria]],Desc_Categorias,0)</f>
        <v>3</v>
      </c>
      <c r="I72" s="43">
        <f>VLOOKUP(TB_Vendas[[#This Row],[Qtd]],Desc_TabelaToda,TB_Vendas[[#This Row],[Indice]],TRUE)</f>
        <v>0.2</v>
      </c>
      <c r="J72" s="43" cm="1">
        <f t="array" ref="J72">INDEX(Desc_TabelaToda,MATCH(TB_Vendas[[#This Row],[Qtd]],Desc_Quantidades,1),MATCH(_xlfn.XLOOKUP(TB_Vendas[[#This Row],[Código]],TB_Produtos[[#All],[Código]],TB_Produtos[[#All],[Categoria]]),Desc_Categorias,0))</f>
        <v>0.2</v>
      </c>
      <c r="K72" s="43">
        <f>_xlfn.XLOOKUP(TB_Vendas[[#This Row],[Vendedor]],Vendedores!$A$5:$A$9,Vendedores!$D$5:$D$9)</f>
        <v>0.2</v>
      </c>
      <c r="L72" s="43">
        <f>IF(TB_Vendas[[#This Row],[Desconto 
(Diretão)]]&lt;=TB_Vendas[[#This Row],[Desconto 
(Vendedor)]],TB_Vendas[[#This Row],[Desconto 
(Diretão)]],TB_Vendas[[#This Row],[Desconto 
(Vendedor)]])</f>
        <v>0.2</v>
      </c>
      <c r="M72" s="2">
        <f>TB_Vendas[[#This Row],[Preço Unitário]]*TB_Vendas[[#This Row],[Qtd]]</f>
        <v>779.69999999999993</v>
      </c>
      <c r="N72" s="1" t="s">
        <v>117</v>
      </c>
    </row>
    <row r="73" spans="1:14">
      <c r="A73" s="1">
        <f>MONTH(TB_Vendas[[#This Row],[Data]])</f>
        <v>7</v>
      </c>
      <c r="B73" s="4" t="str">
        <f>PROPER(TEXT(DATE(,TB_Vendas[[#This Row],[Nº]],1),"Mmm"))</f>
        <v>Jul</v>
      </c>
      <c r="C73" s="3">
        <v>45135</v>
      </c>
      <c r="D73" s="4" t="s">
        <v>89</v>
      </c>
      <c r="E73" s="4" t="str">
        <f>_xlfn.XLOOKUP(TB_Vendas[[#This Row],[Código]],TB_Produtos[Código],TB_Produtos[Categoria])</f>
        <v>Vestuário</v>
      </c>
      <c r="F73" s="1">
        <v>9</v>
      </c>
      <c r="G73" s="7">
        <f>VLOOKUP(TB_Vendas[[#This Row],[Código]],Produtos!$B$6:$G$66,6,0)</f>
        <v>72.5</v>
      </c>
      <c r="H73" s="1">
        <f>_xlfn.XMATCH(TB_Vendas[[#This Row],[Categoria]],Desc_Categorias,0)</f>
        <v>3</v>
      </c>
      <c r="I73" s="43">
        <f>VLOOKUP(TB_Vendas[[#This Row],[Qtd]],Desc_TabelaToda,TB_Vendas[[#This Row],[Indice]],TRUE)</f>
        <v>0.25</v>
      </c>
      <c r="J73" s="43" cm="1">
        <f t="array" ref="J73">INDEX(Desc_TabelaToda,MATCH(TB_Vendas[[#This Row],[Qtd]],Desc_Quantidades,1),MATCH(_xlfn.XLOOKUP(TB_Vendas[[#This Row],[Código]],TB_Produtos[[#All],[Código]],TB_Produtos[[#All],[Categoria]]),Desc_Categorias,0))</f>
        <v>0.25</v>
      </c>
      <c r="K73" s="43">
        <f>_xlfn.XLOOKUP(TB_Vendas[[#This Row],[Vendedor]],Vendedores!$A$5:$A$9,Vendedores!$D$5:$D$9)</f>
        <v>0.1</v>
      </c>
      <c r="L73" s="43">
        <f>IF(TB_Vendas[[#This Row],[Desconto 
(Diretão)]]&lt;=TB_Vendas[[#This Row],[Desconto 
(Vendedor)]],TB_Vendas[[#This Row],[Desconto 
(Diretão)]],TB_Vendas[[#This Row],[Desconto 
(Vendedor)]])</f>
        <v>0.1</v>
      </c>
      <c r="M73" s="2">
        <f>TB_Vendas[[#This Row],[Preço Unitário]]*TB_Vendas[[#This Row],[Qtd]]</f>
        <v>652.5</v>
      </c>
      <c r="N73" s="1" t="s">
        <v>116</v>
      </c>
    </row>
    <row r="74" spans="1:14">
      <c r="A74" s="1">
        <f>MONTH(TB_Vendas[[#This Row],[Data]])</f>
        <v>7</v>
      </c>
      <c r="B74" s="4" t="str">
        <f>PROPER(TEXT(DATE(,TB_Vendas[[#This Row],[Nº]],1),"Mmm"))</f>
        <v>Jul</v>
      </c>
      <c r="C74" s="3">
        <v>45136</v>
      </c>
      <c r="D74" s="4" t="s">
        <v>53</v>
      </c>
      <c r="E74" s="4" t="str">
        <f>_xlfn.XLOOKUP(TB_Vendas[[#This Row],[Código]],TB_Produtos[Código],TB_Produtos[Categoria])</f>
        <v>Vestuário</v>
      </c>
      <c r="F74" s="1">
        <v>4</v>
      </c>
      <c r="G74" s="7">
        <f>VLOOKUP(TB_Vendas[[#This Row],[Código]],Produtos!$B$6:$G$66,6,0)</f>
        <v>300</v>
      </c>
      <c r="H74" s="1">
        <f>_xlfn.XMATCH(TB_Vendas[[#This Row],[Categoria]],Desc_Categorias,0)</f>
        <v>3</v>
      </c>
      <c r="I74" s="43">
        <f>VLOOKUP(TB_Vendas[[#This Row],[Qtd]],Desc_TabelaToda,TB_Vendas[[#This Row],[Indice]],TRUE)</f>
        <v>0.2</v>
      </c>
      <c r="J74" s="43" cm="1">
        <f t="array" ref="J74">INDEX(Desc_TabelaToda,MATCH(TB_Vendas[[#This Row],[Qtd]],Desc_Quantidades,1),MATCH(_xlfn.XLOOKUP(TB_Vendas[[#This Row],[Código]],TB_Produtos[[#All],[Código]],TB_Produtos[[#All],[Categoria]]),Desc_Categorias,0))</f>
        <v>0.2</v>
      </c>
      <c r="K74" s="43">
        <f>_xlfn.XLOOKUP(TB_Vendas[[#This Row],[Vendedor]],Vendedores!$A$5:$A$9,Vendedores!$D$5:$D$9)</f>
        <v>0.15</v>
      </c>
      <c r="L74" s="43">
        <f>IF(TB_Vendas[[#This Row],[Desconto 
(Diretão)]]&lt;=TB_Vendas[[#This Row],[Desconto 
(Vendedor)]],TB_Vendas[[#This Row],[Desconto 
(Diretão)]],TB_Vendas[[#This Row],[Desconto 
(Vendedor)]])</f>
        <v>0.15</v>
      </c>
      <c r="M74" s="2">
        <f>TB_Vendas[[#This Row],[Preço Unitário]]*TB_Vendas[[#This Row],[Qtd]]</f>
        <v>1200</v>
      </c>
      <c r="N74" s="1" t="s">
        <v>118</v>
      </c>
    </row>
    <row r="75" spans="1:14">
      <c r="A75" s="1">
        <f>MONTH(TB_Vendas[[#This Row],[Data]])</f>
        <v>7</v>
      </c>
      <c r="B75" s="4" t="str">
        <f>PROPER(TEXT(DATE(,TB_Vendas[[#This Row],[Nº]],1),"Mmm"))</f>
        <v>Jul</v>
      </c>
      <c r="C75" s="3">
        <v>45137</v>
      </c>
      <c r="D75" s="4" t="s">
        <v>32</v>
      </c>
      <c r="E75" s="4" t="str">
        <f>_xlfn.XLOOKUP(TB_Vendas[[#This Row],[Código]],TB_Produtos[Código],TB_Produtos[Categoria])</f>
        <v>Vestuário</v>
      </c>
      <c r="F75" s="1">
        <v>9</v>
      </c>
      <c r="G75" s="7">
        <f>VLOOKUP(TB_Vendas[[#This Row],[Código]],Produtos!$B$6:$G$66,6,0)</f>
        <v>65.900000000000006</v>
      </c>
      <c r="H75" s="1">
        <f>_xlfn.XMATCH(TB_Vendas[[#This Row],[Categoria]],Desc_Categorias,0)</f>
        <v>3</v>
      </c>
      <c r="I75" s="43">
        <f>VLOOKUP(TB_Vendas[[#This Row],[Qtd]],Desc_TabelaToda,TB_Vendas[[#This Row],[Indice]],TRUE)</f>
        <v>0.25</v>
      </c>
      <c r="J75" s="43" cm="1">
        <f t="array" ref="J75">INDEX(Desc_TabelaToda,MATCH(TB_Vendas[[#This Row],[Qtd]],Desc_Quantidades,1),MATCH(_xlfn.XLOOKUP(TB_Vendas[[#This Row],[Código]],TB_Produtos[[#All],[Código]],TB_Produtos[[#All],[Categoria]]),Desc_Categorias,0))</f>
        <v>0.25</v>
      </c>
      <c r="K75" s="43">
        <f>_xlfn.XLOOKUP(TB_Vendas[[#This Row],[Vendedor]],Vendedores!$A$5:$A$9,Vendedores!$D$5:$D$9)</f>
        <v>0.15</v>
      </c>
      <c r="L75" s="43">
        <f>IF(TB_Vendas[[#This Row],[Desconto 
(Diretão)]]&lt;=TB_Vendas[[#This Row],[Desconto 
(Vendedor)]],TB_Vendas[[#This Row],[Desconto 
(Diretão)]],TB_Vendas[[#This Row],[Desconto 
(Vendedor)]])</f>
        <v>0.15</v>
      </c>
      <c r="M75" s="2">
        <f>TB_Vendas[[#This Row],[Preço Unitário]]*TB_Vendas[[#This Row],[Qtd]]</f>
        <v>593.1</v>
      </c>
      <c r="N75" s="1" t="s">
        <v>118</v>
      </c>
    </row>
    <row r="76" spans="1:14">
      <c r="A76" s="1">
        <f>MONTH(TB_Vendas[[#This Row],[Data]])</f>
        <v>8</v>
      </c>
      <c r="B76" s="4" t="str">
        <f>PROPER(TEXT(DATE(,TB_Vendas[[#This Row],[Nº]],1),"Mmm"))</f>
        <v>Ago</v>
      </c>
      <c r="C76" s="3">
        <v>45143</v>
      </c>
      <c r="D76" s="4" t="s">
        <v>40</v>
      </c>
      <c r="E76" s="4" t="str">
        <f>_xlfn.XLOOKUP(TB_Vendas[[#This Row],[Código]],TB_Produtos[Código],TB_Produtos[Categoria])</f>
        <v>Vestuário</v>
      </c>
      <c r="F76" s="1">
        <v>10</v>
      </c>
      <c r="G76" s="7">
        <f>VLOOKUP(TB_Vendas[[#This Row],[Código]],Produtos!$B$6:$G$66,6,0)</f>
        <v>92.9</v>
      </c>
      <c r="H76" s="1">
        <f>_xlfn.XMATCH(TB_Vendas[[#This Row],[Categoria]],Desc_Categorias,0)</f>
        <v>3</v>
      </c>
      <c r="I76" s="43">
        <f>VLOOKUP(TB_Vendas[[#This Row],[Qtd]],Desc_TabelaToda,TB_Vendas[[#This Row],[Indice]],TRUE)</f>
        <v>0.3</v>
      </c>
      <c r="J76" s="43" cm="1">
        <f t="array" ref="J76">INDEX(Desc_TabelaToda,MATCH(TB_Vendas[[#This Row],[Qtd]],Desc_Quantidades,1),MATCH(_xlfn.XLOOKUP(TB_Vendas[[#This Row],[Código]],TB_Produtos[[#All],[Código]],TB_Produtos[[#All],[Categoria]]),Desc_Categorias,0))</f>
        <v>0.3</v>
      </c>
      <c r="K76" s="43">
        <f>_xlfn.XLOOKUP(TB_Vendas[[#This Row],[Vendedor]],Vendedores!$A$5:$A$9,Vendedores!$D$5:$D$9)</f>
        <v>0.15</v>
      </c>
      <c r="L76" s="43">
        <f>IF(TB_Vendas[[#This Row],[Desconto 
(Diretão)]]&lt;=TB_Vendas[[#This Row],[Desconto 
(Vendedor)]],TB_Vendas[[#This Row],[Desconto 
(Diretão)]],TB_Vendas[[#This Row],[Desconto 
(Vendedor)]])</f>
        <v>0.15</v>
      </c>
      <c r="M76" s="2">
        <f>TB_Vendas[[#This Row],[Preço Unitário]]*TB_Vendas[[#This Row],[Qtd]]</f>
        <v>929</v>
      </c>
      <c r="N76" s="1" t="s">
        <v>118</v>
      </c>
    </row>
    <row r="77" spans="1:14">
      <c r="A77" s="1">
        <f>MONTH(TB_Vendas[[#This Row],[Data]])</f>
        <v>8</v>
      </c>
      <c r="B77" s="4" t="str">
        <f>PROPER(TEXT(DATE(,TB_Vendas[[#This Row],[Nº]],1),"Mmm"))</f>
        <v>Ago</v>
      </c>
      <c r="C77" s="3">
        <v>45144</v>
      </c>
      <c r="D77" s="4" t="s">
        <v>106</v>
      </c>
      <c r="E77" s="4" t="str">
        <f>_xlfn.XLOOKUP(TB_Vendas[[#This Row],[Código]],TB_Produtos[Código],TB_Produtos[Categoria])</f>
        <v>Calçado</v>
      </c>
      <c r="F77" s="1">
        <v>1</v>
      </c>
      <c r="G77" s="7">
        <f>VLOOKUP(TB_Vendas[[#This Row],[Código]],Produtos!$B$6:$G$66,6,0)</f>
        <v>89.9</v>
      </c>
      <c r="H77" s="1">
        <f>_xlfn.XMATCH(TB_Vendas[[#This Row],[Categoria]],Desc_Categorias,0)</f>
        <v>4</v>
      </c>
      <c r="I77" s="43">
        <f>VLOOKUP(TB_Vendas[[#This Row],[Qtd]],Desc_TabelaToda,TB_Vendas[[#This Row],[Indice]],TRUE)</f>
        <v>0</v>
      </c>
      <c r="J77" s="43" cm="1">
        <f t="array" ref="J77">INDEX(Desc_TabelaToda,MATCH(TB_Vendas[[#This Row],[Qtd]],Desc_Quantidades,1),MATCH(_xlfn.XLOOKUP(TB_Vendas[[#This Row],[Código]],TB_Produtos[[#All],[Código]],TB_Produtos[[#All],[Categoria]]),Desc_Categorias,0))</f>
        <v>0</v>
      </c>
      <c r="K77" s="43">
        <f>_xlfn.XLOOKUP(TB_Vendas[[#This Row],[Vendedor]],Vendedores!$A$5:$A$9,Vendedores!$D$5:$D$9)</f>
        <v>0.1</v>
      </c>
      <c r="L77" s="43">
        <f>IF(TB_Vendas[[#This Row],[Desconto 
(Diretão)]]&lt;=TB_Vendas[[#This Row],[Desconto 
(Vendedor)]],TB_Vendas[[#This Row],[Desconto 
(Diretão)]],TB_Vendas[[#This Row],[Desconto 
(Vendedor)]])</f>
        <v>0</v>
      </c>
      <c r="M77" s="2">
        <f>TB_Vendas[[#This Row],[Preço Unitário]]*TB_Vendas[[#This Row],[Qtd]]</f>
        <v>89.9</v>
      </c>
      <c r="N77" s="1" t="s">
        <v>116</v>
      </c>
    </row>
    <row r="78" spans="1:14">
      <c r="A78" s="1">
        <f>MONTH(TB_Vendas[[#This Row],[Data]])</f>
        <v>8</v>
      </c>
      <c r="B78" s="4" t="str">
        <f>PROPER(TEXT(DATE(,TB_Vendas[[#This Row],[Nº]],1),"Mmm"))</f>
        <v>Ago</v>
      </c>
      <c r="C78" s="3">
        <v>45145</v>
      </c>
      <c r="D78" s="4" t="s">
        <v>99</v>
      </c>
      <c r="E78" s="4" t="str">
        <f>_xlfn.XLOOKUP(TB_Vendas[[#This Row],[Código]],TB_Produtos[Código],TB_Produtos[Categoria])</f>
        <v>Vestuário</v>
      </c>
      <c r="F78" s="1">
        <v>2</v>
      </c>
      <c r="G78" s="7">
        <f>VLOOKUP(TB_Vendas[[#This Row],[Código]],Produtos!$B$6:$G$66,6,0)</f>
        <v>49.9</v>
      </c>
      <c r="H78" s="1">
        <f>_xlfn.XMATCH(TB_Vendas[[#This Row],[Categoria]],Desc_Categorias,0)</f>
        <v>3</v>
      </c>
      <c r="I78" s="43">
        <f>VLOOKUP(TB_Vendas[[#This Row],[Qtd]],Desc_TabelaToda,TB_Vendas[[#This Row],[Indice]],TRUE)</f>
        <v>0.15</v>
      </c>
      <c r="J78" s="43" cm="1">
        <f t="array" ref="J78">INDEX(Desc_TabelaToda,MATCH(TB_Vendas[[#This Row],[Qtd]],Desc_Quantidades,1),MATCH(_xlfn.XLOOKUP(TB_Vendas[[#This Row],[Código]],TB_Produtos[[#All],[Código]],TB_Produtos[[#All],[Categoria]]),Desc_Categorias,0))</f>
        <v>0.15</v>
      </c>
      <c r="K78" s="43">
        <f>_xlfn.XLOOKUP(TB_Vendas[[#This Row],[Vendedor]],Vendedores!$A$5:$A$9,Vendedores!$D$5:$D$9)</f>
        <v>0.1</v>
      </c>
      <c r="L78" s="43">
        <f>IF(TB_Vendas[[#This Row],[Desconto 
(Diretão)]]&lt;=TB_Vendas[[#This Row],[Desconto 
(Vendedor)]],TB_Vendas[[#This Row],[Desconto 
(Diretão)]],TB_Vendas[[#This Row],[Desconto 
(Vendedor)]])</f>
        <v>0.1</v>
      </c>
      <c r="M78" s="2">
        <f>TB_Vendas[[#This Row],[Preço Unitário]]*TB_Vendas[[#This Row],[Qtd]]</f>
        <v>99.8</v>
      </c>
      <c r="N78" s="1" t="s">
        <v>116</v>
      </c>
    </row>
    <row r="79" spans="1:14">
      <c r="A79" s="1">
        <f>MONTH(TB_Vendas[[#This Row],[Data]])</f>
        <v>8</v>
      </c>
      <c r="B79" s="4" t="str">
        <f>PROPER(TEXT(DATE(,TB_Vendas[[#This Row],[Nº]],1),"Mmm"))</f>
        <v>Ago</v>
      </c>
      <c r="C79" s="3">
        <v>45146</v>
      </c>
      <c r="D79" s="4" t="s">
        <v>84</v>
      </c>
      <c r="E79" s="4" t="str">
        <f>_xlfn.XLOOKUP(TB_Vendas[[#This Row],[Código]],TB_Produtos[Código],TB_Produtos[Categoria])</f>
        <v>Vestuário</v>
      </c>
      <c r="F79" s="1">
        <v>8</v>
      </c>
      <c r="G79" s="7">
        <f>VLOOKUP(TB_Vendas[[#This Row],[Código]],Produtos!$B$6:$G$66,6,0)</f>
        <v>70</v>
      </c>
      <c r="H79" s="1">
        <f>_xlfn.XMATCH(TB_Vendas[[#This Row],[Categoria]],Desc_Categorias,0)</f>
        <v>3</v>
      </c>
      <c r="I79" s="43">
        <f>VLOOKUP(TB_Vendas[[#This Row],[Qtd]],Desc_TabelaToda,TB_Vendas[[#This Row],[Indice]],TRUE)</f>
        <v>0.25</v>
      </c>
      <c r="J79" s="43" cm="1">
        <f t="array" ref="J79">INDEX(Desc_TabelaToda,MATCH(TB_Vendas[[#This Row],[Qtd]],Desc_Quantidades,1),MATCH(_xlfn.XLOOKUP(TB_Vendas[[#This Row],[Código]],TB_Produtos[[#All],[Código]],TB_Produtos[[#All],[Categoria]]),Desc_Categorias,0))</f>
        <v>0.25</v>
      </c>
      <c r="K79" s="43">
        <f>_xlfn.XLOOKUP(TB_Vendas[[#This Row],[Vendedor]],Vendedores!$A$5:$A$9,Vendedores!$D$5:$D$9)</f>
        <v>0.15</v>
      </c>
      <c r="L79" s="43">
        <f>IF(TB_Vendas[[#This Row],[Desconto 
(Diretão)]]&lt;=TB_Vendas[[#This Row],[Desconto 
(Vendedor)]],TB_Vendas[[#This Row],[Desconto 
(Diretão)]],TB_Vendas[[#This Row],[Desconto 
(Vendedor)]])</f>
        <v>0.15</v>
      </c>
      <c r="M79" s="2">
        <f>TB_Vendas[[#This Row],[Preço Unitário]]*TB_Vendas[[#This Row],[Qtd]]</f>
        <v>560</v>
      </c>
      <c r="N79" s="1" t="s">
        <v>115</v>
      </c>
    </row>
    <row r="80" spans="1:14">
      <c r="A80" s="1">
        <f>MONTH(TB_Vendas[[#This Row],[Data]])</f>
        <v>8</v>
      </c>
      <c r="B80" s="4" t="str">
        <f>PROPER(TEXT(DATE(,TB_Vendas[[#This Row],[Nº]],1),"Mmm"))</f>
        <v>Ago</v>
      </c>
      <c r="C80" s="3">
        <v>45147</v>
      </c>
      <c r="D80" s="4" t="s">
        <v>42</v>
      </c>
      <c r="E80" s="4" t="str">
        <f>_xlfn.XLOOKUP(TB_Vendas[[#This Row],[Código]],TB_Produtos[Código],TB_Produtos[Categoria])</f>
        <v>Vestuário</v>
      </c>
      <c r="F80" s="1">
        <v>5</v>
      </c>
      <c r="G80" s="7">
        <f>VLOOKUP(TB_Vendas[[#This Row],[Código]],Produtos!$B$6:$G$66,6,0)</f>
        <v>46.9</v>
      </c>
      <c r="H80" s="1">
        <f>_xlfn.XMATCH(TB_Vendas[[#This Row],[Categoria]],Desc_Categorias,0)</f>
        <v>3</v>
      </c>
      <c r="I80" s="43">
        <f>VLOOKUP(TB_Vendas[[#This Row],[Qtd]],Desc_TabelaToda,TB_Vendas[[#This Row],[Indice]],TRUE)</f>
        <v>0.25</v>
      </c>
      <c r="J80" s="43" cm="1">
        <f t="array" ref="J80">INDEX(Desc_TabelaToda,MATCH(TB_Vendas[[#This Row],[Qtd]],Desc_Quantidades,1),MATCH(_xlfn.XLOOKUP(TB_Vendas[[#This Row],[Código]],TB_Produtos[[#All],[Código]],TB_Produtos[[#All],[Categoria]]),Desc_Categorias,0))</f>
        <v>0.25</v>
      </c>
      <c r="K80" s="43">
        <f>_xlfn.XLOOKUP(TB_Vendas[[#This Row],[Vendedor]],Vendedores!$A$5:$A$9,Vendedores!$D$5:$D$9)</f>
        <v>0.1</v>
      </c>
      <c r="L80" s="43">
        <f>IF(TB_Vendas[[#This Row],[Desconto 
(Diretão)]]&lt;=TB_Vendas[[#This Row],[Desconto 
(Vendedor)]],TB_Vendas[[#This Row],[Desconto 
(Diretão)]],TB_Vendas[[#This Row],[Desconto 
(Vendedor)]])</f>
        <v>0.1</v>
      </c>
      <c r="M80" s="2">
        <f>TB_Vendas[[#This Row],[Preço Unitário]]*TB_Vendas[[#This Row],[Qtd]]</f>
        <v>234.5</v>
      </c>
      <c r="N80" s="1" t="s">
        <v>116</v>
      </c>
    </row>
    <row r="81" spans="1:14">
      <c r="A81" s="1">
        <f>MONTH(TB_Vendas[[#This Row],[Data]])</f>
        <v>8</v>
      </c>
      <c r="B81" s="4" t="str">
        <f>PROPER(TEXT(DATE(,TB_Vendas[[#This Row],[Nº]],1),"Mmm"))</f>
        <v>Ago</v>
      </c>
      <c r="C81" s="3">
        <v>45148</v>
      </c>
      <c r="D81" s="4" t="s">
        <v>93</v>
      </c>
      <c r="E81" s="4" t="str">
        <f>_xlfn.XLOOKUP(TB_Vendas[[#This Row],[Código]],TB_Produtos[Código],TB_Produtos[Categoria])</f>
        <v>Vestuário</v>
      </c>
      <c r="F81" s="1">
        <v>10</v>
      </c>
      <c r="G81" s="7">
        <f>VLOOKUP(TB_Vendas[[#This Row],[Código]],Produtos!$B$6:$G$66,6,0)</f>
        <v>289.89999999999998</v>
      </c>
      <c r="H81" s="1">
        <f>_xlfn.XMATCH(TB_Vendas[[#This Row],[Categoria]],Desc_Categorias,0)</f>
        <v>3</v>
      </c>
      <c r="I81" s="43">
        <f>VLOOKUP(TB_Vendas[[#This Row],[Qtd]],Desc_TabelaToda,TB_Vendas[[#This Row],[Indice]],TRUE)</f>
        <v>0.3</v>
      </c>
      <c r="J81" s="43" cm="1">
        <f t="array" ref="J81">INDEX(Desc_TabelaToda,MATCH(TB_Vendas[[#This Row],[Qtd]],Desc_Quantidades,1),MATCH(_xlfn.XLOOKUP(TB_Vendas[[#This Row],[Código]],TB_Produtos[[#All],[Código]],TB_Produtos[[#All],[Categoria]]),Desc_Categorias,0))</f>
        <v>0.3</v>
      </c>
      <c r="K81" s="43">
        <f>_xlfn.XLOOKUP(TB_Vendas[[#This Row],[Vendedor]],Vendedores!$A$5:$A$9,Vendedores!$D$5:$D$9)</f>
        <v>0.15</v>
      </c>
      <c r="L81" s="43">
        <f>IF(TB_Vendas[[#This Row],[Desconto 
(Diretão)]]&lt;=TB_Vendas[[#This Row],[Desconto 
(Vendedor)]],TB_Vendas[[#This Row],[Desconto 
(Diretão)]],TB_Vendas[[#This Row],[Desconto 
(Vendedor)]])</f>
        <v>0.15</v>
      </c>
      <c r="M81" s="2">
        <f>TB_Vendas[[#This Row],[Preço Unitário]]*TB_Vendas[[#This Row],[Qtd]]</f>
        <v>2899</v>
      </c>
      <c r="N81" s="1" t="s">
        <v>115</v>
      </c>
    </row>
    <row r="82" spans="1:14">
      <c r="A82" s="1">
        <f>MONTH(TB_Vendas[[#This Row],[Data]])</f>
        <v>8</v>
      </c>
      <c r="B82" s="4" t="str">
        <f>PROPER(TEXT(DATE(,TB_Vendas[[#This Row],[Nº]],1),"Mmm"))</f>
        <v>Ago</v>
      </c>
      <c r="C82" s="3">
        <v>45149</v>
      </c>
      <c r="D82" s="4" t="s">
        <v>46</v>
      </c>
      <c r="E82" s="4" t="str">
        <f>_xlfn.XLOOKUP(TB_Vendas[[#This Row],[Código]],TB_Produtos[Código],TB_Produtos[Categoria])</f>
        <v>Vestuário</v>
      </c>
      <c r="F82" s="1">
        <v>1</v>
      </c>
      <c r="G82" s="7">
        <f>VLOOKUP(TB_Vendas[[#This Row],[Código]],Produtos!$B$6:$G$66,6,0)</f>
        <v>42.5</v>
      </c>
      <c r="H82" s="1">
        <f>_xlfn.XMATCH(TB_Vendas[[#This Row],[Categoria]],Desc_Categorias,0)</f>
        <v>3</v>
      </c>
      <c r="I82" s="43">
        <f>VLOOKUP(TB_Vendas[[#This Row],[Qtd]],Desc_TabelaToda,TB_Vendas[[#This Row],[Indice]],TRUE)</f>
        <v>0.1</v>
      </c>
      <c r="J82" s="43" cm="1">
        <f t="array" ref="J82">INDEX(Desc_TabelaToda,MATCH(TB_Vendas[[#This Row],[Qtd]],Desc_Quantidades,1),MATCH(_xlfn.XLOOKUP(TB_Vendas[[#This Row],[Código]],TB_Produtos[[#All],[Código]],TB_Produtos[[#All],[Categoria]]),Desc_Categorias,0))</f>
        <v>0.1</v>
      </c>
      <c r="K82" s="43">
        <f>_xlfn.XLOOKUP(TB_Vendas[[#This Row],[Vendedor]],Vendedores!$A$5:$A$9,Vendedores!$D$5:$D$9)</f>
        <v>0.1</v>
      </c>
      <c r="L82" s="43">
        <f>IF(TB_Vendas[[#This Row],[Desconto 
(Diretão)]]&lt;=TB_Vendas[[#This Row],[Desconto 
(Vendedor)]],TB_Vendas[[#This Row],[Desconto 
(Diretão)]],TB_Vendas[[#This Row],[Desconto 
(Vendedor)]])</f>
        <v>0.1</v>
      </c>
      <c r="M82" s="2">
        <f>TB_Vendas[[#This Row],[Preço Unitário]]*TB_Vendas[[#This Row],[Qtd]]</f>
        <v>42.5</v>
      </c>
      <c r="N82" s="1" t="s">
        <v>116</v>
      </c>
    </row>
    <row r="83" spans="1:14">
      <c r="A83" s="1">
        <f>MONTH(TB_Vendas[[#This Row],[Data]])</f>
        <v>8</v>
      </c>
      <c r="B83" s="4" t="str">
        <f>PROPER(TEXT(DATE(,TB_Vendas[[#This Row],[Nº]],1),"Mmm"))</f>
        <v>Ago</v>
      </c>
      <c r="C83" s="3">
        <v>45150</v>
      </c>
      <c r="D83" s="4" t="s">
        <v>103</v>
      </c>
      <c r="E83" s="4" t="str">
        <f>_xlfn.XLOOKUP(TB_Vendas[[#This Row],[Código]],TB_Produtos[Código],TB_Produtos[Categoria])</f>
        <v>Calçado</v>
      </c>
      <c r="F83" s="1">
        <v>2</v>
      </c>
      <c r="G83" s="7">
        <f>VLOOKUP(TB_Vendas[[#This Row],[Código]],Produtos!$B$6:$G$66,6,0)</f>
        <v>89.9</v>
      </c>
      <c r="H83" s="1">
        <f>_xlfn.XMATCH(TB_Vendas[[#This Row],[Categoria]],Desc_Categorias,0)</f>
        <v>4</v>
      </c>
      <c r="I83" s="43">
        <f>VLOOKUP(TB_Vendas[[#This Row],[Qtd]],Desc_TabelaToda,TB_Vendas[[#This Row],[Indice]],TRUE)</f>
        <v>0.1</v>
      </c>
      <c r="J83" s="43" cm="1">
        <f t="array" ref="J83">INDEX(Desc_TabelaToda,MATCH(TB_Vendas[[#This Row],[Qtd]],Desc_Quantidades,1),MATCH(_xlfn.XLOOKUP(TB_Vendas[[#This Row],[Código]],TB_Produtos[[#All],[Código]],TB_Produtos[[#All],[Categoria]]),Desc_Categorias,0))</f>
        <v>0.1</v>
      </c>
      <c r="K83" s="43">
        <f>_xlfn.XLOOKUP(TB_Vendas[[#This Row],[Vendedor]],Vendedores!$A$5:$A$9,Vendedores!$D$5:$D$9)</f>
        <v>0.15</v>
      </c>
      <c r="L83" s="43">
        <f>IF(TB_Vendas[[#This Row],[Desconto 
(Diretão)]]&lt;=TB_Vendas[[#This Row],[Desconto 
(Vendedor)]],TB_Vendas[[#This Row],[Desconto 
(Diretão)]],TB_Vendas[[#This Row],[Desconto 
(Vendedor)]])</f>
        <v>0.1</v>
      </c>
      <c r="M83" s="2">
        <f>TB_Vendas[[#This Row],[Preço Unitário]]*TB_Vendas[[#This Row],[Qtd]]</f>
        <v>179.8</v>
      </c>
      <c r="N83" s="1" t="s">
        <v>115</v>
      </c>
    </row>
    <row r="84" spans="1:14">
      <c r="A84" s="1">
        <f>MONTH(TB_Vendas[[#This Row],[Data]])</f>
        <v>8</v>
      </c>
      <c r="B84" s="4" t="str">
        <f>PROPER(TEXT(DATE(,TB_Vendas[[#This Row],[Nº]],1),"Mmm"))</f>
        <v>Ago</v>
      </c>
      <c r="C84" s="3">
        <v>45151</v>
      </c>
      <c r="D84" s="4" t="s">
        <v>60</v>
      </c>
      <c r="E84" s="4" t="str">
        <f>_xlfn.XLOOKUP(TB_Vendas[[#This Row],[Código]],TB_Produtos[Código],TB_Produtos[Categoria])</f>
        <v>Calçado</v>
      </c>
      <c r="F84" s="1">
        <v>3</v>
      </c>
      <c r="G84" s="7">
        <f>VLOOKUP(TB_Vendas[[#This Row],[Código]],Produtos!$B$6:$G$66,6,0)</f>
        <v>255</v>
      </c>
      <c r="H84" s="1">
        <f>_xlfn.XMATCH(TB_Vendas[[#This Row],[Categoria]],Desc_Categorias,0)</f>
        <v>4</v>
      </c>
      <c r="I84" s="43">
        <f>VLOOKUP(TB_Vendas[[#This Row],[Qtd]],Desc_TabelaToda,TB_Vendas[[#This Row],[Indice]],TRUE)</f>
        <v>0.15</v>
      </c>
      <c r="J84" s="43" cm="1">
        <f t="array" ref="J84">INDEX(Desc_TabelaToda,MATCH(TB_Vendas[[#This Row],[Qtd]],Desc_Quantidades,1),MATCH(_xlfn.XLOOKUP(TB_Vendas[[#This Row],[Código]],TB_Produtos[[#All],[Código]],TB_Produtos[[#All],[Categoria]]),Desc_Categorias,0))</f>
        <v>0.15</v>
      </c>
      <c r="K84" s="43">
        <f>_xlfn.XLOOKUP(TB_Vendas[[#This Row],[Vendedor]],Vendedores!$A$5:$A$9,Vendedores!$D$5:$D$9)</f>
        <v>0.2</v>
      </c>
      <c r="L84" s="43">
        <f>IF(TB_Vendas[[#This Row],[Desconto 
(Diretão)]]&lt;=TB_Vendas[[#This Row],[Desconto 
(Vendedor)]],TB_Vendas[[#This Row],[Desconto 
(Diretão)]],TB_Vendas[[#This Row],[Desconto 
(Vendedor)]])</f>
        <v>0.15</v>
      </c>
      <c r="M84" s="2">
        <f>TB_Vendas[[#This Row],[Preço Unitário]]*TB_Vendas[[#This Row],[Qtd]]</f>
        <v>765</v>
      </c>
      <c r="N84" s="1" t="s">
        <v>114</v>
      </c>
    </row>
    <row r="85" spans="1:14">
      <c r="A85" s="1">
        <f>MONTH(TB_Vendas[[#This Row],[Data]])</f>
        <v>8</v>
      </c>
      <c r="B85" s="4" t="str">
        <f>PROPER(TEXT(DATE(,TB_Vendas[[#This Row],[Nº]],1),"Mmm"))</f>
        <v>Ago</v>
      </c>
      <c r="C85" s="3">
        <v>45152</v>
      </c>
      <c r="D85" s="4" t="s">
        <v>46</v>
      </c>
      <c r="E85" s="4" t="str">
        <f>_xlfn.XLOOKUP(TB_Vendas[[#This Row],[Código]],TB_Produtos[Código],TB_Produtos[Categoria])</f>
        <v>Vestuário</v>
      </c>
      <c r="F85" s="1">
        <v>6</v>
      </c>
      <c r="G85" s="7">
        <f>VLOOKUP(TB_Vendas[[#This Row],[Código]],Produtos!$B$6:$G$66,6,0)</f>
        <v>42.5</v>
      </c>
      <c r="H85" s="1">
        <f>_xlfn.XMATCH(TB_Vendas[[#This Row],[Categoria]],Desc_Categorias,0)</f>
        <v>3</v>
      </c>
      <c r="I85" s="43">
        <f>VLOOKUP(TB_Vendas[[#This Row],[Qtd]],Desc_TabelaToda,TB_Vendas[[#This Row],[Indice]],TRUE)</f>
        <v>0.25</v>
      </c>
      <c r="J85" s="43" cm="1">
        <f t="array" ref="J85">INDEX(Desc_TabelaToda,MATCH(TB_Vendas[[#This Row],[Qtd]],Desc_Quantidades,1),MATCH(_xlfn.XLOOKUP(TB_Vendas[[#This Row],[Código]],TB_Produtos[[#All],[Código]],TB_Produtos[[#All],[Categoria]]),Desc_Categorias,0))</f>
        <v>0.25</v>
      </c>
      <c r="K85" s="43">
        <f>_xlfn.XLOOKUP(TB_Vendas[[#This Row],[Vendedor]],Vendedores!$A$5:$A$9,Vendedores!$D$5:$D$9)</f>
        <v>0.2</v>
      </c>
      <c r="L85" s="43">
        <f>IF(TB_Vendas[[#This Row],[Desconto 
(Diretão)]]&lt;=TB_Vendas[[#This Row],[Desconto 
(Vendedor)]],TB_Vendas[[#This Row],[Desconto 
(Diretão)]],TB_Vendas[[#This Row],[Desconto 
(Vendedor)]])</f>
        <v>0.2</v>
      </c>
      <c r="M85" s="2">
        <f>TB_Vendas[[#This Row],[Preço Unitário]]*TB_Vendas[[#This Row],[Qtd]]</f>
        <v>255</v>
      </c>
      <c r="N85" s="1" t="s">
        <v>117</v>
      </c>
    </row>
    <row r="86" spans="1:14">
      <c r="A86" s="1">
        <f>MONTH(TB_Vendas[[#This Row],[Data]])</f>
        <v>8</v>
      </c>
      <c r="B86" s="4" t="str">
        <f>PROPER(TEXT(DATE(,TB_Vendas[[#This Row],[Nº]],1),"Mmm"))</f>
        <v>Ago</v>
      </c>
      <c r="C86" s="3">
        <v>45153</v>
      </c>
      <c r="D86" s="4" t="s">
        <v>45</v>
      </c>
      <c r="E86" s="4" t="str">
        <f>_xlfn.XLOOKUP(TB_Vendas[[#This Row],[Código]],TB_Produtos[Código],TB_Produtos[Categoria])</f>
        <v>Vestuário</v>
      </c>
      <c r="F86" s="1">
        <v>8</v>
      </c>
      <c r="G86" s="7">
        <f>VLOOKUP(TB_Vendas[[#This Row],[Código]],Produtos!$B$6:$G$66,6,0)</f>
        <v>39.9</v>
      </c>
      <c r="H86" s="1">
        <f>_xlfn.XMATCH(TB_Vendas[[#This Row],[Categoria]],Desc_Categorias,0)</f>
        <v>3</v>
      </c>
      <c r="I86" s="43">
        <f>VLOOKUP(TB_Vendas[[#This Row],[Qtd]],Desc_TabelaToda,TB_Vendas[[#This Row],[Indice]],TRUE)</f>
        <v>0.25</v>
      </c>
      <c r="J86" s="43" cm="1">
        <f t="array" ref="J86">INDEX(Desc_TabelaToda,MATCH(TB_Vendas[[#This Row],[Qtd]],Desc_Quantidades,1),MATCH(_xlfn.XLOOKUP(TB_Vendas[[#This Row],[Código]],TB_Produtos[[#All],[Código]],TB_Produtos[[#All],[Categoria]]),Desc_Categorias,0))</f>
        <v>0.25</v>
      </c>
      <c r="K86" s="43">
        <f>_xlfn.XLOOKUP(TB_Vendas[[#This Row],[Vendedor]],Vendedores!$A$5:$A$9,Vendedores!$D$5:$D$9)</f>
        <v>0.15</v>
      </c>
      <c r="L86" s="43">
        <f>IF(TB_Vendas[[#This Row],[Desconto 
(Diretão)]]&lt;=TB_Vendas[[#This Row],[Desconto 
(Vendedor)]],TB_Vendas[[#This Row],[Desconto 
(Diretão)]],TB_Vendas[[#This Row],[Desconto 
(Vendedor)]])</f>
        <v>0.15</v>
      </c>
      <c r="M86" s="2">
        <f>TB_Vendas[[#This Row],[Preço Unitário]]*TB_Vendas[[#This Row],[Qtd]]</f>
        <v>319.2</v>
      </c>
      <c r="N86" s="1" t="s">
        <v>115</v>
      </c>
    </row>
  </sheetData>
  <phoneticPr fontId="11" type="noConversion"/>
  <conditionalFormatting sqref="F4:L4">
    <cfRule type="cellIs" dxfId="36" priority="2" operator="equal">
      <formula>0</formula>
    </cfRule>
  </conditionalFormatting>
  <pageMargins left="0.511811024" right="0.511811024" top="0.78740157499999996" bottom="0.78740157499999996" header="0.31496062000000002" footer="0.31496062000000002"/>
  <drawing r:id="rId1"/>
  <tableParts count="1">
    <tablePart r:id="rId2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4F5C727-A4BE-4D8E-B096-B644D6008112}">
  <sheetPr codeName="Planilha6"/>
  <dimension ref="A1:H25"/>
  <sheetViews>
    <sheetView topLeftCell="C1" workbookViewId="0">
      <selection activeCell="J19" sqref="J19"/>
    </sheetView>
  </sheetViews>
  <sheetFormatPr defaultRowHeight="14.4"/>
  <cols>
    <col min="1" max="1" width="17.21875" bestFit="1" customWidth="1"/>
    <col min="2" max="2" width="14.44140625" bestFit="1" customWidth="1"/>
    <col min="3" max="3" width="11.88671875" bestFit="1" customWidth="1"/>
    <col min="4" max="4" width="17.21875" bestFit="1" customWidth="1"/>
    <col min="5" max="5" width="13.109375" bestFit="1" customWidth="1"/>
    <col min="6" max="9" width="8" bestFit="1" customWidth="1"/>
    <col min="10" max="10" width="6" bestFit="1" customWidth="1"/>
    <col min="11" max="11" width="8" bestFit="1" customWidth="1"/>
    <col min="12" max="12" width="7" bestFit="1" customWidth="1"/>
    <col min="13" max="13" width="8" bestFit="1" customWidth="1"/>
    <col min="14" max="14" width="10" bestFit="1" customWidth="1"/>
    <col min="15" max="243" width="10.77734375" bestFit="1" customWidth="1"/>
    <col min="244" max="244" width="10" bestFit="1" customWidth="1"/>
  </cols>
  <sheetData>
    <row r="1" spans="1:8">
      <c r="A1" s="63" t="s">
        <v>73</v>
      </c>
      <c r="B1" t="s" vm="1">
        <v>193</v>
      </c>
      <c r="D1" s="63" t="s">
        <v>10</v>
      </c>
      <c r="E1" t="s" vm="2">
        <v>193</v>
      </c>
    </row>
    <row r="3" spans="1:8">
      <c r="A3" s="63" t="s">
        <v>161</v>
      </c>
      <c r="B3" s="2" t="s">
        <v>167</v>
      </c>
      <c r="D3" s="63" t="s">
        <v>161</v>
      </c>
      <c r="E3" t="s">
        <v>167</v>
      </c>
    </row>
    <row r="4" spans="1:8">
      <c r="A4" s="64" t="s">
        <v>71</v>
      </c>
      <c r="B4" s="2">
        <v>36204.6</v>
      </c>
      <c r="D4" s="64" t="s">
        <v>13</v>
      </c>
      <c r="E4">
        <v>31476.5</v>
      </c>
      <c r="F4" t="str">
        <f>D4</f>
        <v>Acessórios</v>
      </c>
      <c r="G4">
        <f>GETPIVOTDATA("[Measures].[Soma de Total 2]",$D$3,"[Vendas__2].[Categoria]","[Vendas__2].[Categoria].&amp;[Acessórios]")</f>
        <v>31476.5</v>
      </c>
      <c r="H4">
        <f>GETPIVOTDATA("[Measures].[Soma de Total 2]",$D$3)-G4</f>
        <v>175964.6</v>
      </c>
    </row>
    <row r="5" spans="1:8">
      <c r="A5" s="64" t="s">
        <v>72</v>
      </c>
      <c r="B5" s="2">
        <v>36468.6</v>
      </c>
      <c r="D5" s="64" t="s">
        <v>14</v>
      </c>
      <c r="E5">
        <v>40859.4</v>
      </c>
      <c r="F5" t="str">
        <f t="shared" ref="F5:F6" si="0">D5</f>
        <v>Calçado</v>
      </c>
      <c r="G5">
        <f>GETPIVOTDATA("[Measures].[Soma de Total 2]",$D$3,"[Vendas__2].[Categoria]","[Vendas__2].[Categoria].&amp;[Calçado]")</f>
        <v>40859.4</v>
      </c>
      <c r="H5">
        <f t="shared" ref="H5:H6" si="1">GETPIVOTDATA("[Measures].[Soma de Total 2]",$D$3)-G5</f>
        <v>166581.70000000001</v>
      </c>
    </row>
    <row r="6" spans="1:8">
      <c r="A6" s="64" t="s">
        <v>119</v>
      </c>
      <c r="B6" s="2">
        <v>37864</v>
      </c>
      <c r="D6" s="64" t="s">
        <v>12</v>
      </c>
      <c r="E6">
        <v>135105.20000000001</v>
      </c>
      <c r="F6" t="str">
        <f t="shared" si="0"/>
        <v>Vestuário</v>
      </c>
      <c r="G6">
        <f>GETPIVOTDATA("[Measures].[Soma de Total 2]",$D$3,"[Vendas__2].[Categoria]","[Vendas__2].[Categoria].&amp;[Vestuário]")</f>
        <v>135105.20000000001</v>
      </c>
      <c r="H6">
        <f t="shared" si="1"/>
        <v>72335.899999999994</v>
      </c>
    </row>
    <row r="7" spans="1:8">
      <c r="A7" s="64" t="s">
        <v>74</v>
      </c>
      <c r="B7" s="2">
        <v>47690</v>
      </c>
      <c r="D7" s="64" t="s">
        <v>162</v>
      </c>
      <c r="E7">
        <v>207441.1</v>
      </c>
    </row>
    <row r="8" spans="1:8">
      <c r="A8" s="64" t="s">
        <v>120</v>
      </c>
      <c r="B8" s="2">
        <v>49213.9</v>
      </c>
    </row>
    <row r="9" spans="1:8">
      <c r="A9" s="64" t="s">
        <v>162</v>
      </c>
      <c r="B9" s="2">
        <v>207441.1</v>
      </c>
    </row>
    <row r="12" spans="1:8">
      <c r="A12" s="63" t="s">
        <v>161</v>
      </c>
      <c r="B12" s="2" t="s">
        <v>167</v>
      </c>
      <c r="C12" t="s">
        <v>165</v>
      </c>
    </row>
    <row r="13" spans="1:8">
      <c r="A13" s="64" t="s">
        <v>195</v>
      </c>
      <c r="B13" s="2">
        <v>27065.5</v>
      </c>
      <c r="C13">
        <v>154</v>
      </c>
    </row>
    <row r="14" spans="1:8">
      <c r="A14" s="64" t="s">
        <v>196</v>
      </c>
      <c r="B14" s="2">
        <v>7502.6</v>
      </c>
      <c r="C14">
        <v>83</v>
      </c>
    </row>
    <row r="15" spans="1:8">
      <c r="A15" s="64" t="s">
        <v>197</v>
      </c>
      <c r="B15" s="2">
        <v>7197.4</v>
      </c>
      <c r="C15">
        <v>114</v>
      </c>
    </row>
    <row r="16" spans="1:8">
      <c r="A16" s="64" t="s">
        <v>198</v>
      </c>
      <c r="B16" s="2">
        <v>17379.8</v>
      </c>
      <c r="C16">
        <v>146</v>
      </c>
    </row>
    <row r="17" spans="1:3">
      <c r="A17" s="64" t="s">
        <v>199</v>
      </c>
      <c r="B17" s="2">
        <v>20685.5</v>
      </c>
      <c r="C17">
        <v>114</v>
      </c>
    </row>
    <row r="18" spans="1:3">
      <c r="A18" s="64" t="s">
        <v>200</v>
      </c>
      <c r="B18" s="2">
        <v>22586.3</v>
      </c>
      <c r="C18">
        <v>185</v>
      </c>
    </row>
    <row r="19" spans="1:3">
      <c r="A19" s="64" t="s">
        <v>201</v>
      </c>
      <c r="B19" s="2">
        <v>18730.099999999999</v>
      </c>
      <c r="C19">
        <v>133</v>
      </c>
    </row>
    <row r="20" spans="1:3">
      <c r="A20" s="64" t="s">
        <v>202</v>
      </c>
      <c r="B20" s="2">
        <v>21585.8</v>
      </c>
      <c r="C20">
        <v>147</v>
      </c>
    </row>
    <row r="21" spans="1:3">
      <c r="A21" s="64" t="s">
        <v>203</v>
      </c>
      <c r="B21" s="2">
        <v>19851</v>
      </c>
      <c r="C21">
        <v>151</v>
      </c>
    </row>
    <row r="22" spans="1:3">
      <c r="A22" s="64" t="s">
        <v>204</v>
      </c>
      <c r="B22" s="2">
        <v>15659.4</v>
      </c>
      <c r="C22">
        <v>151</v>
      </c>
    </row>
    <row r="23" spans="1:3">
      <c r="A23" s="64" t="s">
        <v>205</v>
      </c>
      <c r="B23" s="2">
        <v>9455.2000000000007</v>
      </c>
      <c r="C23">
        <v>92</v>
      </c>
    </row>
    <row r="24" spans="1:3">
      <c r="A24" s="64" t="s">
        <v>206</v>
      </c>
      <c r="B24" s="2">
        <v>19742.5</v>
      </c>
      <c r="C24">
        <v>129</v>
      </c>
    </row>
    <row r="25" spans="1:3">
      <c r="A25" s="64" t="s">
        <v>162</v>
      </c>
      <c r="B25" s="2">
        <v>207441.1</v>
      </c>
      <c r="C25">
        <v>1599</v>
      </c>
    </row>
  </sheetData>
  <pageMargins left="0.511811024" right="0.511811024" top="0.78740157499999996" bottom="0.78740157499999996" header="0.31496062000000002" footer="0.31496062000000002"/>
  <drawing r:id="rId4"/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7269AA3-C78B-4C09-AA40-D19B2AEE266D}">
  <sheetPr codeName="Planilha7"/>
  <dimension ref="A1:I253"/>
  <sheetViews>
    <sheetView workbookViewId="0">
      <selection activeCell="G5" sqref="G5"/>
    </sheetView>
  </sheetViews>
  <sheetFormatPr defaultRowHeight="14.4"/>
  <cols>
    <col min="1" max="1" width="10.5546875" bestFit="1" customWidth="1"/>
    <col min="2" max="2" width="9.109375" bestFit="1" customWidth="1"/>
    <col min="3" max="3" width="11.21875" bestFit="1" customWidth="1"/>
    <col min="4" max="4" width="6.33203125" bestFit="1" customWidth="1"/>
    <col min="5" max="5" width="15.33203125" bestFit="1" customWidth="1"/>
    <col min="6" max="6" width="15.5546875" bestFit="1" customWidth="1"/>
    <col min="7" max="7" width="7.44140625" bestFit="1" customWidth="1"/>
    <col min="8" max="8" width="13.77734375" bestFit="1" customWidth="1"/>
    <col min="9" max="9" width="11.5546875" bestFit="1" customWidth="1"/>
  </cols>
  <sheetData>
    <row r="1" spans="1:9">
      <c r="A1" t="s">
        <v>75</v>
      </c>
      <c r="B1" t="s">
        <v>30</v>
      </c>
      <c r="C1" t="s">
        <v>10</v>
      </c>
      <c r="D1" t="s">
        <v>15</v>
      </c>
      <c r="E1" t="s">
        <v>11</v>
      </c>
      <c r="F1" t="s">
        <v>160</v>
      </c>
      <c r="G1" t="s">
        <v>16</v>
      </c>
      <c r="H1" t="s">
        <v>194</v>
      </c>
      <c r="I1" t="s">
        <v>73</v>
      </c>
    </row>
    <row r="2" spans="1:9">
      <c r="A2" s="70">
        <v>44566</v>
      </c>
      <c r="B2" t="s">
        <v>62</v>
      </c>
      <c r="C2" t="s">
        <v>14</v>
      </c>
      <c r="D2">
        <v>2</v>
      </c>
      <c r="E2">
        <v>245</v>
      </c>
      <c r="F2">
        <v>0.1</v>
      </c>
      <c r="G2">
        <v>490</v>
      </c>
      <c r="H2" t="str">
        <f>_xlfn.XLOOKUP(Vendas__2[[#This Row],[Vendedor]],Vendedores!$A$4:$A$9,Vendedores!$B$4:$B$9,"",0)</f>
        <v>Amanda</v>
      </c>
      <c r="I2" t="s">
        <v>117</v>
      </c>
    </row>
    <row r="3" spans="1:9">
      <c r="A3" s="70">
        <v>44567</v>
      </c>
      <c r="B3" t="s">
        <v>60</v>
      </c>
      <c r="C3" t="s">
        <v>14</v>
      </c>
      <c r="D3">
        <v>10</v>
      </c>
      <c r="E3">
        <v>255</v>
      </c>
      <c r="F3">
        <v>0.15</v>
      </c>
      <c r="G3">
        <v>2550</v>
      </c>
      <c r="H3" t="str">
        <f>_xlfn.XLOOKUP(Vendas__2[[#This Row],[Vendedor]],Vendedores!$A$4:$A$9,Vendedores!$B$4:$B$9,"",0)</f>
        <v>Bruno</v>
      </c>
      <c r="I3" t="s">
        <v>118</v>
      </c>
    </row>
    <row r="4" spans="1:9">
      <c r="A4" s="70">
        <v>44568</v>
      </c>
      <c r="B4" t="s">
        <v>94</v>
      </c>
      <c r="C4" t="s">
        <v>12</v>
      </c>
      <c r="D4">
        <v>11</v>
      </c>
      <c r="E4">
        <v>289.89999999999998</v>
      </c>
      <c r="F4">
        <v>0.1</v>
      </c>
      <c r="G4">
        <v>3188.9</v>
      </c>
      <c r="H4" t="str">
        <f>_xlfn.XLOOKUP(Vendas__2[[#This Row],[Vendedor]],Vendedores!$A$4:$A$9,Vendedores!$B$4:$B$9,"",0)</f>
        <v>Clara</v>
      </c>
      <c r="I4" t="s">
        <v>116</v>
      </c>
    </row>
    <row r="5" spans="1:9">
      <c r="A5" s="70">
        <v>44573</v>
      </c>
      <c r="B5" t="s">
        <v>107</v>
      </c>
      <c r="C5" t="s">
        <v>12</v>
      </c>
      <c r="D5">
        <v>11</v>
      </c>
      <c r="E5">
        <v>180</v>
      </c>
      <c r="F5">
        <v>0.2</v>
      </c>
      <c r="G5">
        <v>1980</v>
      </c>
      <c r="H5" t="str">
        <f>_xlfn.XLOOKUP(Vendas__2[[#This Row],[Vendedor]],Vendedores!$A$4:$A$9,Vendedores!$B$4:$B$9,"",0)</f>
        <v>João</v>
      </c>
      <c r="I5" t="s">
        <v>114</v>
      </c>
    </row>
    <row r="6" spans="1:9">
      <c r="A6" s="70">
        <v>44574</v>
      </c>
      <c r="B6" t="s">
        <v>111</v>
      </c>
      <c r="C6" t="s">
        <v>12</v>
      </c>
      <c r="D6">
        <v>10</v>
      </c>
      <c r="E6">
        <v>180</v>
      </c>
      <c r="F6">
        <v>0.1</v>
      </c>
      <c r="G6">
        <v>1800</v>
      </c>
      <c r="H6" t="str">
        <f>_xlfn.XLOOKUP(Vendas__2[[#This Row],[Vendedor]],Vendedores!$A$4:$A$9,Vendedores!$B$4:$B$9,"",0)</f>
        <v>Clara</v>
      </c>
      <c r="I6" t="s">
        <v>116</v>
      </c>
    </row>
    <row r="7" spans="1:9">
      <c r="A7" s="70">
        <v>44578</v>
      </c>
      <c r="B7" t="s">
        <v>34</v>
      </c>
      <c r="C7" t="s">
        <v>12</v>
      </c>
      <c r="D7">
        <v>8</v>
      </c>
      <c r="E7">
        <v>70.900000000000006</v>
      </c>
      <c r="F7">
        <v>0.15</v>
      </c>
      <c r="G7">
        <v>567.20000000000005</v>
      </c>
      <c r="H7" t="str">
        <f>_xlfn.XLOOKUP(Vendas__2[[#This Row],[Vendedor]],Vendedores!$A$4:$A$9,Vendedores!$B$4:$B$9,"",0)</f>
        <v>Sarah</v>
      </c>
      <c r="I7" t="s">
        <v>115</v>
      </c>
    </row>
    <row r="8" spans="1:9">
      <c r="A8" s="70">
        <v>44584</v>
      </c>
      <c r="B8" t="s">
        <v>60</v>
      </c>
      <c r="C8" t="s">
        <v>14</v>
      </c>
      <c r="D8">
        <v>2</v>
      </c>
      <c r="E8">
        <v>255</v>
      </c>
      <c r="F8">
        <v>0.1</v>
      </c>
      <c r="G8">
        <v>510</v>
      </c>
      <c r="H8" t="str">
        <f>_xlfn.XLOOKUP(Vendas__2[[#This Row],[Vendedor]],Vendedores!$A$4:$A$9,Vendedores!$B$4:$B$9,"",0)</f>
        <v>Amanda</v>
      </c>
      <c r="I8" t="s">
        <v>117</v>
      </c>
    </row>
    <row r="9" spans="1:9">
      <c r="A9" s="70">
        <v>44587</v>
      </c>
      <c r="B9" t="s">
        <v>89</v>
      </c>
      <c r="C9" t="s">
        <v>12</v>
      </c>
      <c r="D9">
        <v>2</v>
      </c>
      <c r="E9">
        <v>72.5</v>
      </c>
      <c r="F9">
        <v>0.15</v>
      </c>
      <c r="G9">
        <v>145</v>
      </c>
      <c r="H9" t="str">
        <f>_xlfn.XLOOKUP(Vendas__2[[#This Row],[Vendedor]],Vendedores!$A$4:$A$9,Vendedores!$B$4:$B$9,"",0)</f>
        <v>Bruno</v>
      </c>
      <c r="I9" t="s">
        <v>118</v>
      </c>
    </row>
    <row r="10" spans="1:9">
      <c r="A10" s="70">
        <v>44589</v>
      </c>
      <c r="B10" t="s">
        <v>91</v>
      </c>
      <c r="C10" t="s">
        <v>12</v>
      </c>
      <c r="D10">
        <v>12</v>
      </c>
      <c r="E10">
        <v>289.89999999999998</v>
      </c>
      <c r="F10">
        <v>0.2</v>
      </c>
      <c r="G10">
        <v>3478.8</v>
      </c>
      <c r="H10" t="str">
        <f>_xlfn.XLOOKUP(Vendas__2[[#This Row],[Vendedor]],Vendedores!$A$4:$A$9,Vendedores!$B$4:$B$9,"",0)</f>
        <v>Amanda</v>
      </c>
      <c r="I10" t="s">
        <v>117</v>
      </c>
    </row>
    <row r="11" spans="1:9">
      <c r="A11" s="70">
        <v>44590</v>
      </c>
      <c r="B11" t="s">
        <v>91</v>
      </c>
      <c r="C11" t="s">
        <v>12</v>
      </c>
      <c r="D11">
        <v>1</v>
      </c>
      <c r="E11">
        <v>289.89999999999998</v>
      </c>
      <c r="F11">
        <v>0.1</v>
      </c>
      <c r="G11">
        <v>289.89999999999998</v>
      </c>
      <c r="H11" t="str">
        <f>_xlfn.XLOOKUP(Vendas__2[[#This Row],[Vendedor]],Vendedores!$A$4:$A$9,Vendedores!$B$4:$B$9,"",0)</f>
        <v>Bruno</v>
      </c>
      <c r="I11" t="s">
        <v>118</v>
      </c>
    </row>
    <row r="12" spans="1:9">
      <c r="A12" s="70">
        <v>44591</v>
      </c>
      <c r="B12" t="s">
        <v>110</v>
      </c>
      <c r="C12" t="s">
        <v>12</v>
      </c>
      <c r="D12">
        <v>11</v>
      </c>
      <c r="E12">
        <v>180</v>
      </c>
      <c r="F12">
        <v>0.2</v>
      </c>
      <c r="G12">
        <v>1980</v>
      </c>
      <c r="H12" t="str">
        <f>_xlfn.XLOOKUP(Vendas__2[[#This Row],[Vendedor]],Vendedores!$A$4:$A$9,Vendedores!$B$4:$B$9,"",0)</f>
        <v>João</v>
      </c>
      <c r="I12" t="s">
        <v>114</v>
      </c>
    </row>
    <row r="13" spans="1:9">
      <c r="A13" s="70">
        <v>44595</v>
      </c>
      <c r="B13" t="s">
        <v>34</v>
      </c>
      <c r="C13" t="s">
        <v>12</v>
      </c>
      <c r="D13">
        <v>2</v>
      </c>
      <c r="E13">
        <v>70.900000000000006</v>
      </c>
      <c r="F13">
        <v>0.15</v>
      </c>
      <c r="G13">
        <v>141.80000000000001</v>
      </c>
      <c r="H13" t="str">
        <f>_xlfn.XLOOKUP(Vendas__2[[#This Row],[Vendedor]],Vendedores!$A$4:$A$9,Vendedores!$B$4:$B$9,"",0)</f>
        <v>João</v>
      </c>
      <c r="I13" t="s">
        <v>114</v>
      </c>
    </row>
    <row r="14" spans="1:9">
      <c r="A14" s="70">
        <v>44597</v>
      </c>
      <c r="B14" t="s">
        <v>58</v>
      </c>
      <c r="C14" t="s">
        <v>13</v>
      </c>
      <c r="D14">
        <v>7</v>
      </c>
      <c r="E14">
        <v>120</v>
      </c>
      <c r="F14">
        <v>0.2</v>
      </c>
      <c r="G14">
        <v>840</v>
      </c>
      <c r="H14" t="str">
        <f>_xlfn.XLOOKUP(Vendas__2[[#This Row],[Vendedor]],Vendedores!$A$4:$A$9,Vendedores!$B$4:$B$9,"",0)</f>
        <v>Amanda</v>
      </c>
      <c r="I14" t="s">
        <v>117</v>
      </c>
    </row>
    <row r="15" spans="1:9">
      <c r="A15" s="70">
        <v>44610</v>
      </c>
      <c r="B15" t="s">
        <v>54</v>
      </c>
      <c r="C15" t="s">
        <v>12</v>
      </c>
      <c r="D15">
        <v>4</v>
      </c>
      <c r="E15">
        <v>249.9</v>
      </c>
      <c r="F15">
        <v>0.2</v>
      </c>
      <c r="G15">
        <v>999.6</v>
      </c>
      <c r="H15" t="str">
        <f>_xlfn.XLOOKUP(Vendas__2[[#This Row],[Vendedor]],Vendedores!$A$4:$A$9,Vendedores!$B$4:$B$9,"",0)</f>
        <v>João</v>
      </c>
      <c r="I15" t="s">
        <v>114</v>
      </c>
    </row>
    <row r="16" spans="1:9">
      <c r="A16" s="70">
        <v>44613</v>
      </c>
      <c r="B16" t="s">
        <v>45</v>
      </c>
      <c r="C16" t="s">
        <v>12</v>
      </c>
      <c r="D16">
        <v>4</v>
      </c>
      <c r="E16">
        <v>39.9</v>
      </c>
      <c r="F16">
        <v>0.1</v>
      </c>
      <c r="G16">
        <v>159.6</v>
      </c>
      <c r="H16" t="str">
        <f>_xlfn.XLOOKUP(Vendas__2[[#This Row],[Vendedor]],Vendedores!$A$4:$A$9,Vendedores!$B$4:$B$9,"",0)</f>
        <v>Clara</v>
      </c>
      <c r="I16" t="s">
        <v>116</v>
      </c>
    </row>
    <row r="17" spans="1:9">
      <c r="A17" s="70">
        <v>44616</v>
      </c>
      <c r="B17" t="s">
        <v>84</v>
      </c>
      <c r="C17" t="s">
        <v>12</v>
      </c>
      <c r="D17">
        <v>10</v>
      </c>
      <c r="E17">
        <v>70</v>
      </c>
      <c r="F17">
        <v>0.15</v>
      </c>
      <c r="G17">
        <v>700</v>
      </c>
      <c r="H17" t="str">
        <f>_xlfn.XLOOKUP(Vendas__2[[#This Row],[Vendedor]],Vendedores!$A$4:$A$9,Vendedores!$B$4:$B$9,"",0)</f>
        <v>Bruno</v>
      </c>
      <c r="I17" t="s">
        <v>118</v>
      </c>
    </row>
    <row r="18" spans="1:9">
      <c r="A18" s="70">
        <v>44617</v>
      </c>
      <c r="B18" t="s">
        <v>40</v>
      </c>
      <c r="C18" t="s">
        <v>12</v>
      </c>
      <c r="D18">
        <v>5</v>
      </c>
      <c r="E18">
        <v>92.9</v>
      </c>
      <c r="F18">
        <v>0.15</v>
      </c>
      <c r="G18">
        <v>464.5</v>
      </c>
      <c r="H18" t="str">
        <f>_xlfn.XLOOKUP(Vendas__2[[#This Row],[Vendedor]],Vendedores!$A$4:$A$9,Vendedores!$B$4:$B$9,"",0)</f>
        <v>Bruno</v>
      </c>
      <c r="I18" t="s">
        <v>118</v>
      </c>
    </row>
    <row r="19" spans="1:9">
      <c r="A19" s="70">
        <v>44618</v>
      </c>
      <c r="B19" t="s">
        <v>53</v>
      </c>
      <c r="C19" t="s">
        <v>12</v>
      </c>
      <c r="D19">
        <v>2</v>
      </c>
      <c r="E19">
        <v>300</v>
      </c>
      <c r="F19">
        <v>0.15</v>
      </c>
      <c r="G19">
        <v>600</v>
      </c>
      <c r="H19" t="str">
        <f>_xlfn.XLOOKUP(Vendas__2[[#This Row],[Vendedor]],Vendedores!$A$4:$A$9,Vendedores!$B$4:$B$9,"",0)</f>
        <v>João</v>
      </c>
      <c r="I19" t="s">
        <v>114</v>
      </c>
    </row>
    <row r="20" spans="1:9">
      <c r="A20" s="70">
        <v>44621</v>
      </c>
      <c r="B20" t="s">
        <v>32</v>
      </c>
      <c r="C20" t="s">
        <v>12</v>
      </c>
      <c r="D20">
        <v>5</v>
      </c>
      <c r="E20">
        <v>65.900000000000006</v>
      </c>
      <c r="F20">
        <v>0.2</v>
      </c>
      <c r="G20">
        <v>329.5</v>
      </c>
      <c r="H20" t="str">
        <f>_xlfn.XLOOKUP(Vendas__2[[#This Row],[Vendedor]],Vendedores!$A$4:$A$9,Vendedores!$B$4:$B$9,"",0)</f>
        <v>João</v>
      </c>
      <c r="I20" t="s">
        <v>114</v>
      </c>
    </row>
    <row r="21" spans="1:9">
      <c r="A21" s="70">
        <v>44621</v>
      </c>
      <c r="B21" t="s">
        <v>44</v>
      </c>
      <c r="C21" t="s">
        <v>12</v>
      </c>
      <c r="D21">
        <v>3</v>
      </c>
      <c r="E21">
        <v>39.9</v>
      </c>
      <c r="F21">
        <v>0.2</v>
      </c>
      <c r="G21">
        <v>119.7</v>
      </c>
      <c r="H21" t="str">
        <f>_xlfn.XLOOKUP(Vendas__2[[#This Row],[Vendedor]],Vendedores!$A$4:$A$9,Vendedores!$B$4:$B$9,"",0)</f>
        <v>Amanda</v>
      </c>
      <c r="I21" t="s">
        <v>117</v>
      </c>
    </row>
    <row r="22" spans="1:9">
      <c r="A22" s="70">
        <v>44622</v>
      </c>
      <c r="B22" t="s">
        <v>44</v>
      </c>
      <c r="C22" t="s">
        <v>12</v>
      </c>
      <c r="D22">
        <v>1</v>
      </c>
      <c r="E22">
        <v>39.9</v>
      </c>
      <c r="F22">
        <v>0.1</v>
      </c>
      <c r="G22">
        <v>39.9</v>
      </c>
      <c r="H22" t="str">
        <f>_xlfn.XLOOKUP(Vendas__2[[#This Row],[Vendedor]],Vendedores!$A$4:$A$9,Vendedores!$B$4:$B$9,"",0)</f>
        <v>Amanda</v>
      </c>
      <c r="I22" t="s">
        <v>117</v>
      </c>
    </row>
    <row r="23" spans="1:9">
      <c r="A23" s="70">
        <v>44623</v>
      </c>
      <c r="B23" t="s">
        <v>38</v>
      </c>
      <c r="C23" t="s">
        <v>12</v>
      </c>
      <c r="D23">
        <v>12</v>
      </c>
      <c r="E23">
        <v>85.9</v>
      </c>
      <c r="F23">
        <v>0.15</v>
      </c>
      <c r="G23">
        <v>1030.8</v>
      </c>
      <c r="H23" t="str">
        <f>_xlfn.XLOOKUP(Vendas__2[[#This Row],[Vendedor]],Vendedores!$A$4:$A$9,Vendedores!$B$4:$B$9,"",0)</f>
        <v>Sarah</v>
      </c>
      <c r="I23" t="s">
        <v>115</v>
      </c>
    </row>
    <row r="24" spans="1:9">
      <c r="A24" s="70">
        <v>44624</v>
      </c>
      <c r="B24" t="s">
        <v>98</v>
      </c>
      <c r="C24" t="s">
        <v>12</v>
      </c>
      <c r="D24">
        <v>5</v>
      </c>
      <c r="E24">
        <v>32.9</v>
      </c>
      <c r="F24">
        <v>0.2</v>
      </c>
      <c r="G24">
        <v>164.5</v>
      </c>
      <c r="H24" t="str">
        <f>_xlfn.XLOOKUP(Vendas__2[[#This Row],[Vendedor]],Vendedores!$A$4:$A$9,Vendedores!$B$4:$B$9,"",0)</f>
        <v>João</v>
      </c>
      <c r="I24" t="s">
        <v>114</v>
      </c>
    </row>
    <row r="25" spans="1:9">
      <c r="A25" s="70">
        <v>44629</v>
      </c>
      <c r="B25" t="s">
        <v>85</v>
      </c>
      <c r="C25" t="s">
        <v>12</v>
      </c>
      <c r="D25">
        <v>11</v>
      </c>
      <c r="E25">
        <v>54.9</v>
      </c>
      <c r="F25">
        <v>0.2</v>
      </c>
      <c r="G25">
        <v>603.9</v>
      </c>
      <c r="H25" t="str">
        <f>_xlfn.XLOOKUP(Vendas__2[[#This Row],[Vendedor]],Vendedores!$A$4:$A$9,Vendedores!$B$4:$B$9,"",0)</f>
        <v>João</v>
      </c>
      <c r="I25" t="s">
        <v>114</v>
      </c>
    </row>
    <row r="26" spans="1:9">
      <c r="A26" s="70">
        <v>44634</v>
      </c>
      <c r="B26" t="s">
        <v>46</v>
      </c>
      <c r="C26" t="s">
        <v>12</v>
      </c>
      <c r="D26">
        <v>3</v>
      </c>
      <c r="E26">
        <v>42.5</v>
      </c>
      <c r="F26">
        <v>0.2</v>
      </c>
      <c r="G26">
        <v>127.5</v>
      </c>
      <c r="H26" t="str">
        <f>_xlfn.XLOOKUP(Vendas__2[[#This Row],[Vendedor]],Vendedores!$A$4:$A$9,Vendedores!$B$4:$B$9,"",0)</f>
        <v>João</v>
      </c>
      <c r="I26" t="s">
        <v>114</v>
      </c>
    </row>
    <row r="27" spans="1:9">
      <c r="A27" s="70">
        <v>44639</v>
      </c>
      <c r="B27" t="s">
        <v>65</v>
      </c>
      <c r="C27" t="s">
        <v>12</v>
      </c>
      <c r="D27">
        <v>8</v>
      </c>
      <c r="E27">
        <v>89.9</v>
      </c>
      <c r="F27">
        <v>0.2</v>
      </c>
      <c r="G27">
        <v>719.2</v>
      </c>
      <c r="H27" t="str">
        <f>_xlfn.XLOOKUP(Vendas__2[[#This Row],[Vendedor]],Vendedores!$A$4:$A$9,Vendedores!$B$4:$B$9,"",0)</f>
        <v>Amanda</v>
      </c>
      <c r="I27" t="s">
        <v>117</v>
      </c>
    </row>
    <row r="28" spans="1:9">
      <c r="A28" s="70">
        <v>44641</v>
      </c>
      <c r="B28" t="s">
        <v>64</v>
      </c>
      <c r="C28" t="s">
        <v>14</v>
      </c>
      <c r="D28">
        <v>1</v>
      </c>
      <c r="E28">
        <v>259.89999999999998</v>
      </c>
      <c r="F28">
        <v>0</v>
      </c>
      <c r="G28">
        <v>259.89999999999998</v>
      </c>
      <c r="H28" t="str">
        <f>_xlfn.XLOOKUP(Vendas__2[[#This Row],[Vendedor]],Vendedores!$A$4:$A$9,Vendedores!$B$4:$B$9,"",0)</f>
        <v>Amanda</v>
      </c>
      <c r="I28" t="s">
        <v>117</v>
      </c>
    </row>
    <row r="29" spans="1:9">
      <c r="A29" s="70">
        <v>44645</v>
      </c>
      <c r="B29" t="s">
        <v>49</v>
      </c>
      <c r="C29" t="s">
        <v>12</v>
      </c>
      <c r="D29">
        <v>11</v>
      </c>
      <c r="E29">
        <v>32.9</v>
      </c>
      <c r="F29">
        <v>0.15</v>
      </c>
      <c r="G29">
        <v>361.9</v>
      </c>
      <c r="H29" t="str">
        <f>_xlfn.XLOOKUP(Vendas__2[[#This Row],[Vendedor]],Vendedores!$A$4:$A$9,Vendedores!$B$4:$B$9,"",0)</f>
        <v>Bruno</v>
      </c>
      <c r="I29" t="s">
        <v>118</v>
      </c>
    </row>
    <row r="30" spans="1:9">
      <c r="A30" s="70">
        <v>44653</v>
      </c>
      <c r="B30" t="s">
        <v>50</v>
      </c>
      <c r="C30" t="s">
        <v>13</v>
      </c>
      <c r="D30">
        <v>8</v>
      </c>
      <c r="E30">
        <v>49.9</v>
      </c>
      <c r="F30">
        <v>0.15</v>
      </c>
      <c r="G30">
        <v>399.2</v>
      </c>
      <c r="H30" t="str">
        <f>_xlfn.XLOOKUP(Vendas__2[[#This Row],[Vendedor]],Vendedores!$A$4:$A$9,Vendedores!$B$4:$B$9,"",0)</f>
        <v>Sarah</v>
      </c>
      <c r="I30" t="s">
        <v>115</v>
      </c>
    </row>
    <row r="31" spans="1:9">
      <c r="A31" s="70">
        <v>44655</v>
      </c>
      <c r="B31" t="s">
        <v>36</v>
      </c>
      <c r="C31" t="s">
        <v>13</v>
      </c>
      <c r="D31">
        <v>4</v>
      </c>
      <c r="E31">
        <v>259.89999999999998</v>
      </c>
      <c r="F31">
        <v>0.1</v>
      </c>
      <c r="G31">
        <v>1039.5999999999999</v>
      </c>
      <c r="H31" t="str">
        <f>_xlfn.XLOOKUP(Vendas__2[[#This Row],[Vendedor]],Vendedores!$A$4:$A$9,Vendedores!$B$4:$B$9,"",0)</f>
        <v>Clara</v>
      </c>
      <c r="I31" t="s">
        <v>116</v>
      </c>
    </row>
    <row r="32" spans="1:9">
      <c r="A32" s="70">
        <v>44659</v>
      </c>
      <c r="B32" t="s">
        <v>57</v>
      </c>
      <c r="C32" t="s">
        <v>13</v>
      </c>
      <c r="D32">
        <v>1</v>
      </c>
      <c r="E32">
        <v>349.9</v>
      </c>
      <c r="F32">
        <v>0</v>
      </c>
      <c r="G32">
        <v>349.9</v>
      </c>
      <c r="H32" t="str">
        <f>_xlfn.XLOOKUP(Vendas__2[[#This Row],[Vendedor]],Vendedores!$A$4:$A$9,Vendedores!$B$4:$B$9,"",0)</f>
        <v>Sarah</v>
      </c>
      <c r="I32" t="s">
        <v>115</v>
      </c>
    </row>
    <row r="33" spans="1:9">
      <c r="A33" s="70">
        <v>44662</v>
      </c>
      <c r="B33" t="s">
        <v>102</v>
      </c>
      <c r="C33" t="s">
        <v>12</v>
      </c>
      <c r="D33">
        <v>7</v>
      </c>
      <c r="E33">
        <v>49.9</v>
      </c>
      <c r="F33">
        <v>0.2</v>
      </c>
      <c r="G33">
        <v>349.3</v>
      </c>
      <c r="H33" t="str">
        <f>_xlfn.XLOOKUP(Vendas__2[[#This Row],[Vendedor]],Vendedores!$A$4:$A$9,Vendedores!$B$4:$B$9,"",0)</f>
        <v>Amanda</v>
      </c>
      <c r="I33" t="s">
        <v>117</v>
      </c>
    </row>
    <row r="34" spans="1:9">
      <c r="A34" s="70">
        <v>44663</v>
      </c>
      <c r="B34" t="s">
        <v>84</v>
      </c>
      <c r="C34" t="s">
        <v>12</v>
      </c>
      <c r="D34">
        <v>11</v>
      </c>
      <c r="E34">
        <v>70</v>
      </c>
      <c r="F34">
        <v>0.2</v>
      </c>
      <c r="G34">
        <v>770</v>
      </c>
      <c r="H34" t="str">
        <f>_xlfn.XLOOKUP(Vendas__2[[#This Row],[Vendedor]],Vendedores!$A$4:$A$9,Vendedores!$B$4:$B$9,"",0)</f>
        <v>Amanda</v>
      </c>
      <c r="I34" t="s">
        <v>117</v>
      </c>
    </row>
    <row r="35" spans="1:9">
      <c r="A35" s="70">
        <v>44664</v>
      </c>
      <c r="B35" t="s">
        <v>70</v>
      </c>
      <c r="C35" t="s">
        <v>12</v>
      </c>
      <c r="D35">
        <v>3</v>
      </c>
      <c r="E35">
        <v>146</v>
      </c>
      <c r="F35">
        <v>0.15</v>
      </c>
      <c r="G35">
        <v>438</v>
      </c>
      <c r="H35" t="str">
        <f>_xlfn.XLOOKUP(Vendas__2[[#This Row],[Vendedor]],Vendedores!$A$4:$A$9,Vendedores!$B$4:$B$9,"",0)</f>
        <v>Bruno</v>
      </c>
      <c r="I35" t="s">
        <v>118</v>
      </c>
    </row>
    <row r="36" spans="1:9">
      <c r="A36" s="70">
        <v>44666</v>
      </c>
      <c r="B36" t="s">
        <v>103</v>
      </c>
      <c r="C36" t="s">
        <v>14</v>
      </c>
      <c r="D36">
        <v>8</v>
      </c>
      <c r="E36">
        <v>89.9</v>
      </c>
      <c r="F36">
        <v>0.15</v>
      </c>
      <c r="G36">
        <v>719.2</v>
      </c>
      <c r="H36" t="str">
        <f>_xlfn.XLOOKUP(Vendas__2[[#This Row],[Vendedor]],Vendedores!$A$4:$A$9,Vendedores!$B$4:$B$9,"",0)</f>
        <v>Bruno</v>
      </c>
      <c r="I36" t="s">
        <v>118</v>
      </c>
    </row>
    <row r="37" spans="1:9">
      <c r="A37" s="70">
        <v>44673</v>
      </c>
      <c r="B37" t="s">
        <v>58</v>
      </c>
      <c r="C37" t="s">
        <v>13</v>
      </c>
      <c r="D37">
        <v>9</v>
      </c>
      <c r="E37">
        <v>120</v>
      </c>
      <c r="F37">
        <v>0.15</v>
      </c>
      <c r="G37">
        <v>1080</v>
      </c>
      <c r="H37" t="str">
        <f>_xlfn.XLOOKUP(Vendas__2[[#This Row],[Vendedor]],Vendedores!$A$4:$A$9,Vendedores!$B$4:$B$9,"",0)</f>
        <v>Sarah</v>
      </c>
      <c r="I37" t="s">
        <v>115</v>
      </c>
    </row>
    <row r="38" spans="1:9">
      <c r="A38" s="70">
        <v>44674</v>
      </c>
      <c r="B38" t="s">
        <v>61</v>
      </c>
      <c r="C38" t="s">
        <v>14</v>
      </c>
      <c r="D38">
        <v>3</v>
      </c>
      <c r="E38">
        <v>259.89999999999998</v>
      </c>
      <c r="F38">
        <v>0.1</v>
      </c>
      <c r="G38">
        <v>779.7</v>
      </c>
      <c r="H38" t="str">
        <f>_xlfn.XLOOKUP(Vendas__2[[#This Row],[Vendedor]],Vendedores!$A$4:$A$9,Vendedores!$B$4:$B$9,"",0)</f>
        <v>Clara</v>
      </c>
      <c r="I38" t="s">
        <v>116</v>
      </c>
    </row>
    <row r="39" spans="1:9">
      <c r="A39" s="70">
        <v>44677</v>
      </c>
      <c r="B39" t="s">
        <v>51</v>
      </c>
      <c r="C39" t="s">
        <v>12</v>
      </c>
      <c r="D39">
        <v>6</v>
      </c>
      <c r="E39">
        <v>299.89999999999998</v>
      </c>
      <c r="F39">
        <v>0.1</v>
      </c>
      <c r="G39">
        <v>1799.4</v>
      </c>
      <c r="H39" t="str">
        <f>_xlfn.XLOOKUP(Vendas__2[[#This Row],[Vendedor]],Vendedores!$A$4:$A$9,Vendedores!$B$4:$B$9,"",0)</f>
        <v>Clara</v>
      </c>
      <c r="I39" t="s">
        <v>116</v>
      </c>
    </row>
    <row r="40" spans="1:9">
      <c r="A40" s="70">
        <v>44678</v>
      </c>
      <c r="B40" t="s">
        <v>110</v>
      </c>
      <c r="C40" t="s">
        <v>12</v>
      </c>
      <c r="D40">
        <v>11</v>
      </c>
      <c r="E40">
        <v>180</v>
      </c>
      <c r="F40">
        <v>0.15</v>
      </c>
      <c r="G40">
        <v>1980</v>
      </c>
      <c r="H40" t="str">
        <f>_xlfn.XLOOKUP(Vendas__2[[#This Row],[Vendedor]],Vendedores!$A$4:$A$9,Vendedores!$B$4:$B$9,"",0)</f>
        <v>Bruno</v>
      </c>
      <c r="I40" t="s">
        <v>118</v>
      </c>
    </row>
    <row r="41" spans="1:9">
      <c r="A41" s="70">
        <v>44689</v>
      </c>
      <c r="B41" t="s">
        <v>56</v>
      </c>
      <c r="C41" t="s">
        <v>12</v>
      </c>
      <c r="D41">
        <v>10</v>
      </c>
      <c r="E41">
        <v>299.89999999999998</v>
      </c>
      <c r="F41">
        <v>0.15</v>
      </c>
      <c r="G41">
        <v>2999</v>
      </c>
      <c r="H41" t="str">
        <f>_xlfn.XLOOKUP(Vendas__2[[#This Row],[Vendedor]],Vendedores!$A$4:$A$9,Vendedores!$B$4:$B$9,"",0)</f>
        <v>Sarah</v>
      </c>
      <c r="I41" t="s">
        <v>115</v>
      </c>
    </row>
    <row r="42" spans="1:9">
      <c r="A42" s="70">
        <v>44690</v>
      </c>
      <c r="B42" t="s">
        <v>107</v>
      </c>
      <c r="C42" t="s">
        <v>12</v>
      </c>
      <c r="D42">
        <v>8</v>
      </c>
      <c r="E42">
        <v>180</v>
      </c>
      <c r="F42">
        <v>0.15</v>
      </c>
      <c r="G42">
        <v>1440</v>
      </c>
      <c r="H42" t="str">
        <f>_xlfn.XLOOKUP(Vendas__2[[#This Row],[Vendedor]],Vendedores!$A$4:$A$9,Vendedores!$B$4:$B$9,"",0)</f>
        <v>Sarah</v>
      </c>
      <c r="I42" t="s">
        <v>115</v>
      </c>
    </row>
    <row r="43" spans="1:9">
      <c r="A43" s="70">
        <v>44691</v>
      </c>
      <c r="B43" t="s">
        <v>58</v>
      </c>
      <c r="C43" t="s">
        <v>13</v>
      </c>
      <c r="D43">
        <v>5</v>
      </c>
      <c r="E43">
        <v>120</v>
      </c>
      <c r="F43">
        <v>0.15</v>
      </c>
      <c r="G43">
        <v>600</v>
      </c>
      <c r="H43" t="str">
        <f>_xlfn.XLOOKUP(Vendas__2[[#This Row],[Vendedor]],Vendedores!$A$4:$A$9,Vendedores!$B$4:$B$9,"",0)</f>
        <v>Bruno</v>
      </c>
      <c r="I43" t="s">
        <v>118</v>
      </c>
    </row>
    <row r="44" spans="1:9">
      <c r="A44" s="70">
        <v>44692</v>
      </c>
      <c r="B44" t="s">
        <v>56</v>
      </c>
      <c r="C44" t="s">
        <v>12</v>
      </c>
      <c r="D44">
        <v>12</v>
      </c>
      <c r="E44">
        <v>299.89999999999998</v>
      </c>
      <c r="F44">
        <v>0.15</v>
      </c>
      <c r="G44">
        <v>3598.8</v>
      </c>
      <c r="H44" t="str">
        <f>_xlfn.XLOOKUP(Vendas__2[[#This Row],[Vendedor]],Vendedores!$A$4:$A$9,Vendedores!$B$4:$B$9,"",0)</f>
        <v>Sarah</v>
      </c>
      <c r="I44" t="s">
        <v>115</v>
      </c>
    </row>
    <row r="45" spans="1:9">
      <c r="A45" s="70">
        <v>44693</v>
      </c>
      <c r="B45" t="s">
        <v>67</v>
      </c>
      <c r="C45" t="s">
        <v>12</v>
      </c>
      <c r="D45">
        <v>10</v>
      </c>
      <c r="E45">
        <v>93.5</v>
      </c>
      <c r="F45">
        <v>0.1</v>
      </c>
      <c r="G45">
        <v>935</v>
      </c>
      <c r="H45" t="str">
        <f>_xlfn.XLOOKUP(Vendas__2[[#This Row],[Vendedor]],Vendedores!$A$4:$A$9,Vendedores!$B$4:$B$9,"",0)</f>
        <v>Clara</v>
      </c>
      <c r="I45" t="s">
        <v>116</v>
      </c>
    </row>
    <row r="46" spans="1:9">
      <c r="A46" s="70">
        <v>44696</v>
      </c>
      <c r="B46" t="s">
        <v>94</v>
      </c>
      <c r="C46" t="s">
        <v>12</v>
      </c>
      <c r="D46">
        <v>1</v>
      </c>
      <c r="E46">
        <v>289.89999999999998</v>
      </c>
      <c r="F46">
        <v>0.1</v>
      </c>
      <c r="G46">
        <v>289.89999999999998</v>
      </c>
      <c r="H46" t="str">
        <f>_xlfn.XLOOKUP(Vendas__2[[#This Row],[Vendedor]],Vendedores!$A$4:$A$9,Vendedores!$B$4:$B$9,"",0)</f>
        <v>João</v>
      </c>
      <c r="I46" t="s">
        <v>114</v>
      </c>
    </row>
    <row r="47" spans="1:9">
      <c r="A47" s="70">
        <v>44699</v>
      </c>
      <c r="B47" t="s">
        <v>33</v>
      </c>
      <c r="C47" t="s">
        <v>12</v>
      </c>
      <c r="D47">
        <v>10</v>
      </c>
      <c r="E47">
        <v>69.900000000000006</v>
      </c>
      <c r="F47">
        <v>0.1</v>
      </c>
      <c r="G47">
        <v>699</v>
      </c>
      <c r="H47" t="str">
        <f>_xlfn.XLOOKUP(Vendas__2[[#This Row],[Vendedor]],Vendedores!$A$4:$A$9,Vendedores!$B$4:$B$9,"",0)</f>
        <v>Clara</v>
      </c>
      <c r="I47" t="s">
        <v>116</v>
      </c>
    </row>
    <row r="48" spans="1:9">
      <c r="A48" s="70">
        <v>44719</v>
      </c>
      <c r="B48" t="s">
        <v>66</v>
      </c>
      <c r="C48" t="s">
        <v>12</v>
      </c>
      <c r="D48">
        <v>10</v>
      </c>
      <c r="E48">
        <v>91.4</v>
      </c>
      <c r="F48">
        <v>0.15</v>
      </c>
      <c r="G48">
        <v>914</v>
      </c>
      <c r="H48" t="str">
        <f>_xlfn.XLOOKUP(Vendas__2[[#This Row],[Vendedor]],Vendedores!$A$4:$A$9,Vendedores!$B$4:$B$9,"",0)</f>
        <v>Bruno</v>
      </c>
      <c r="I48" t="s">
        <v>118</v>
      </c>
    </row>
    <row r="49" spans="1:9">
      <c r="A49" s="70">
        <v>44719</v>
      </c>
      <c r="B49" t="s">
        <v>89</v>
      </c>
      <c r="C49" t="s">
        <v>12</v>
      </c>
      <c r="D49">
        <v>4</v>
      </c>
      <c r="E49">
        <v>72.5</v>
      </c>
      <c r="F49">
        <v>0.15</v>
      </c>
      <c r="G49">
        <v>290</v>
      </c>
      <c r="H49" t="str">
        <f>_xlfn.XLOOKUP(Vendas__2[[#This Row],[Vendedor]],Vendedores!$A$4:$A$9,Vendedores!$B$4:$B$9,"",0)</f>
        <v>Bruno</v>
      </c>
      <c r="I49" t="s">
        <v>118</v>
      </c>
    </row>
    <row r="50" spans="1:9">
      <c r="A50" s="70">
        <v>44721</v>
      </c>
      <c r="B50" t="s">
        <v>101</v>
      </c>
      <c r="C50" t="s">
        <v>12</v>
      </c>
      <c r="D50">
        <v>9</v>
      </c>
      <c r="E50">
        <v>49.9</v>
      </c>
      <c r="F50">
        <v>0.2</v>
      </c>
      <c r="G50">
        <v>449.1</v>
      </c>
      <c r="H50" t="str">
        <f>_xlfn.XLOOKUP(Vendas__2[[#This Row],[Vendedor]],Vendedores!$A$4:$A$9,Vendedores!$B$4:$B$9,"",0)</f>
        <v>João</v>
      </c>
      <c r="I50" t="s">
        <v>114</v>
      </c>
    </row>
    <row r="51" spans="1:9">
      <c r="A51" s="70">
        <v>44721</v>
      </c>
      <c r="B51" t="s">
        <v>35</v>
      </c>
      <c r="C51" t="s">
        <v>13</v>
      </c>
      <c r="D51">
        <v>10</v>
      </c>
      <c r="E51">
        <v>145</v>
      </c>
      <c r="F51">
        <v>0.2</v>
      </c>
      <c r="G51">
        <v>1450</v>
      </c>
      <c r="H51" t="str">
        <f>_xlfn.XLOOKUP(Vendas__2[[#This Row],[Vendedor]],Vendedores!$A$4:$A$9,Vendedores!$B$4:$B$9,"",0)</f>
        <v>João</v>
      </c>
      <c r="I51" t="s">
        <v>114</v>
      </c>
    </row>
    <row r="52" spans="1:9">
      <c r="A52" s="70">
        <v>44723</v>
      </c>
      <c r="B52" t="s">
        <v>42</v>
      </c>
      <c r="C52" t="s">
        <v>12</v>
      </c>
      <c r="D52">
        <v>6</v>
      </c>
      <c r="E52">
        <v>46.9</v>
      </c>
      <c r="F52">
        <v>0.1</v>
      </c>
      <c r="G52">
        <v>281.39999999999998</v>
      </c>
      <c r="H52" t="str">
        <f>_xlfn.XLOOKUP(Vendas__2[[#This Row],[Vendedor]],Vendedores!$A$4:$A$9,Vendedores!$B$4:$B$9,"",0)</f>
        <v>Clara</v>
      </c>
      <c r="I52" t="s">
        <v>116</v>
      </c>
    </row>
    <row r="53" spans="1:9">
      <c r="A53" s="70">
        <v>44725</v>
      </c>
      <c r="B53" t="s">
        <v>57</v>
      </c>
      <c r="C53" t="s">
        <v>13</v>
      </c>
      <c r="D53">
        <v>4</v>
      </c>
      <c r="E53">
        <v>349.9</v>
      </c>
      <c r="F53">
        <v>0.15</v>
      </c>
      <c r="G53">
        <v>1399.6</v>
      </c>
      <c r="H53" t="str">
        <f>_xlfn.XLOOKUP(Vendas__2[[#This Row],[Vendedor]],Vendedores!$A$4:$A$9,Vendedores!$B$4:$B$9,"",0)</f>
        <v>Bruno</v>
      </c>
      <c r="I53" t="s">
        <v>118</v>
      </c>
    </row>
    <row r="54" spans="1:9">
      <c r="A54" s="70">
        <v>44728</v>
      </c>
      <c r="B54" t="s">
        <v>47</v>
      </c>
      <c r="C54" t="s">
        <v>12</v>
      </c>
      <c r="D54">
        <v>6</v>
      </c>
      <c r="E54">
        <v>25.9</v>
      </c>
      <c r="F54">
        <v>0.2</v>
      </c>
      <c r="G54">
        <v>155.4</v>
      </c>
      <c r="H54" t="str">
        <f>_xlfn.XLOOKUP(Vendas__2[[#This Row],[Vendedor]],Vendedores!$A$4:$A$9,Vendedores!$B$4:$B$9,"",0)</f>
        <v>Amanda</v>
      </c>
      <c r="I54" t="s">
        <v>117</v>
      </c>
    </row>
    <row r="55" spans="1:9">
      <c r="A55" s="70">
        <v>44728</v>
      </c>
      <c r="B55" t="s">
        <v>111</v>
      </c>
      <c r="C55" t="s">
        <v>12</v>
      </c>
      <c r="D55">
        <v>5</v>
      </c>
      <c r="E55">
        <v>180</v>
      </c>
      <c r="F55">
        <v>0.15</v>
      </c>
      <c r="G55">
        <v>900</v>
      </c>
      <c r="H55" t="str">
        <f>_xlfn.XLOOKUP(Vendas__2[[#This Row],[Vendedor]],Vendedores!$A$4:$A$9,Vendedores!$B$4:$B$9,"",0)</f>
        <v>Bruno</v>
      </c>
      <c r="I55" t="s">
        <v>118</v>
      </c>
    </row>
    <row r="56" spans="1:9">
      <c r="A56" s="70">
        <v>44729</v>
      </c>
      <c r="B56" t="s">
        <v>61</v>
      </c>
      <c r="C56" t="s">
        <v>14</v>
      </c>
      <c r="D56">
        <v>5</v>
      </c>
      <c r="E56">
        <v>259.89999999999998</v>
      </c>
      <c r="F56">
        <v>0.1</v>
      </c>
      <c r="G56">
        <v>1299.5</v>
      </c>
      <c r="H56" t="str">
        <f>_xlfn.XLOOKUP(Vendas__2[[#This Row],[Vendedor]],Vendedores!$A$4:$A$9,Vendedores!$B$4:$B$9,"",0)</f>
        <v>Clara</v>
      </c>
      <c r="I56" t="s">
        <v>116</v>
      </c>
    </row>
    <row r="57" spans="1:9">
      <c r="A57" s="70">
        <v>44732</v>
      </c>
      <c r="B57" t="s">
        <v>68</v>
      </c>
      <c r="C57" t="s">
        <v>12</v>
      </c>
      <c r="D57">
        <v>9</v>
      </c>
      <c r="E57">
        <v>140</v>
      </c>
      <c r="F57">
        <v>0.2</v>
      </c>
      <c r="G57">
        <v>1260</v>
      </c>
      <c r="H57" t="str">
        <f>_xlfn.XLOOKUP(Vendas__2[[#This Row],[Vendedor]],Vendedores!$A$4:$A$9,Vendedores!$B$4:$B$9,"",0)</f>
        <v>Amanda</v>
      </c>
      <c r="I57" t="s">
        <v>117</v>
      </c>
    </row>
    <row r="58" spans="1:9">
      <c r="A58" s="70">
        <v>44740</v>
      </c>
      <c r="B58" t="s">
        <v>35</v>
      </c>
      <c r="C58" t="s">
        <v>13</v>
      </c>
      <c r="D58">
        <v>10</v>
      </c>
      <c r="E58">
        <v>145</v>
      </c>
      <c r="F58">
        <v>0.2</v>
      </c>
      <c r="G58">
        <v>1450</v>
      </c>
      <c r="H58" t="str">
        <f>_xlfn.XLOOKUP(Vendas__2[[#This Row],[Vendedor]],Vendedores!$A$4:$A$9,Vendedores!$B$4:$B$9,"",0)</f>
        <v>Amanda</v>
      </c>
      <c r="I58" t="s">
        <v>117</v>
      </c>
    </row>
    <row r="59" spans="1:9">
      <c r="A59" s="70">
        <v>44740</v>
      </c>
      <c r="B59" t="s">
        <v>60</v>
      </c>
      <c r="C59" t="s">
        <v>14</v>
      </c>
      <c r="D59">
        <v>1</v>
      </c>
      <c r="E59">
        <v>255</v>
      </c>
      <c r="F59">
        <v>0</v>
      </c>
      <c r="G59">
        <v>255</v>
      </c>
      <c r="H59" t="str">
        <f>_xlfn.XLOOKUP(Vendas__2[[#This Row],[Vendedor]],Vendedores!$A$4:$A$9,Vendedores!$B$4:$B$9,"",0)</f>
        <v>Amanda</v>
      </c>
      <c r="I59" t="s">
        <v>117</v>
      </c>
    </row>
    <row r="60" spans="1:9">
      <c r="A60" s="70">
        <v>44741</v>
      </c>
      <c r="B60" t="s">
        <v>64</v>
      </c>
      <c r="C60" t="s">
        <v>14</v>
      </c>
      <c r="D60">
        <v>11</v>
      </c>
      <c r="E60">
        <v>259.89999999999998</v>
      </c>
      <c r="F60">
        <v>0.1</v>
      </c>
      <c r="G60">
        <v>2858.9</v>
      </c>
      <c r="H60" t="str">
        <f>_xlfn.XLOOKUP(Vendas__2[[#This Row],[Vendedor]],Vendedores!$A$4:$A$9,Vendedores!$B$4:$B$9,"",0)</f>
        <v>Clara</v>
      </c>
      <c r="I60" t="s">
        <v>116</v>
      </c>
    </row>
    <row r="61" spans="1:9">
      <c r="A61" s="70">
        <v>44742</v>
      </c>
      <c r="B61" t="s">
        <v>97</v>
      </c>
      <c r="C61" t="s">
        <v>12</v>
      </c>
      <c r="D61">
        <v>5</v>
      </c>
      <c r="E61">
        <v>32.9</v>
      </c>
      <c r="F61">
        <v>0.2</v>
      </c>
      <c r="G61">
        <v>164.5</v>
      </c>
      <c r="H61" t="str">
        <f>_xlfn.XLOOKUP(Vendas__2[[#This Row],[Vendedor]],Vendedores!$A$4:$A$9,Vendedores!$B$4:$B$9,"",0)</f>
        <v>Amanda</v>
      </c>
      <c r="I61" t="s">
        <v>117</v>
      </c>
    </row>
    <row r="62" spans="1:9">
      <c r="A62" s="70">
        <v>44747</v>
      </c>
      <c r="B62" t="s">
        <v>40</v>
      </c>
      <c r="C62" t="s">
        <v>12</v>
      </c>
      <c r="D62">
        <v>3</v>
      </c>
      <c r="E62">
        <v>92.9</v>
      </c>
      <c r="F62">
        <v>0.1</v>
      </c>
      <c r="G62">
        <v>278.7</v>
      </c>
      <c r="H62" t="str">
        <f>_xlfn.XLOOKUP(Vendas__2[[#This Row],[Vendedor]],Vendedores!$A$4:$A$9,Vendedores!$B$4:$B$9,"",0)</f>
        <v>Clara</v>
      </c>
      <c r="I62" t="s">
        <v>116</v>
      </c>
    </row>
    <row r="63" spans="1:9">
      <c r="A63" s="70">
        <v>44748</v>
      </c>
      <c r="B63" t="s">
        <v>57</v>
      </c>
      <c r="C63" t="s">
        <v>13</v>
      </c>
      <c r="D63">
        <v>5</v>
      </c>
      <c r="E63">
        <v>349.9</v>
      </c>
      <c r="F63">
        <v>0.2</v>
      </c>
      <c r="G63">
        <v>1749.5</v>
      </c>
      <c r="H63" t="str">
        <f>_xlfn.XLOOKUP(Vendas__2[[#This Row],[Vendedor]],Vendedores!$A$4:$A$9,Vendedores!$B$4:$B$9,"",0)</f>
        <v>João</v>
      </c>
      <c r="I63" t="s">
        <v>114</v>
      </c>
    </row>
    <row r="64" spans="1:9">
      <c r="A64" s="70">
        <v>44749</v>
      </c>
      <c r="B64" t="s">
        <v>45</v>
      </c>
      <c r="C64" t="s">
        <v>12</v>
      </c>
      <c r="D64">
        <v>3</v>
      </c>
      <c r="E64">
        <v>39.9</v>
      </c>
      <c r="F64">
        <v>0.2</v>
      </c>
      <c r="G64">
        <v>119.7</v>
      </c>
      <c r="H64" t="str">
        <f>_xlfn.XLOOKUP(Vendas__2[[#This Row],[Vendedor]],Vendedores!$A$4:$A$9,Vendedores!$B$4:$B$9,"",0)</f>
        <v>João</v>
      </c>
      <c r="I64" t="s">
        <v>114</v>
      </c>
    </row>
    <row r="65" spans="1:9">
      <c r="A65" s="70">
        <v>44754</v>
      </c>
      <c r="B65" t="s">
        <v>41</v>
      </c>
      <c r="C65" t="s">
        <v>12</v>
      </c>
      <c r="D65">
        <v>6</v>
      </c>
      <c r="E65">
        <v>44.9</v>
      </c>
      <c r="F65">
        <v>0.15</v>
      </c>
      <c r="G65">
        <v>269.39999999999998</v>
      </c>
      <c r="H65" t="str">
        <f>_xlfn.XLOOKUP(Vendas__2[[#This Row],[Vendedor]],Vendedores!$A$4:$A$9,Vendedores!$B$4:$B$9,"",0)</f>
        <v>Bruno</v>
      </c>
      <c r="I65" t="s">
        <v>118</v>
      </c>
    </row>
    <row r="66" spans="1:9">
      <c r="A66" s="70">
        <v>44755</v>
      </c>
      <c r="B66" t="s">
        <v>63</v>
      </c>
      <c r="C66" t="s">
        <v>14</v>
      </c>
      <c r="D66">
        <v>11</v>
      </c>
      <c r="E66">
        <v>250</v>
      </c>
      <c r="F66">
        <v>0.15</v>
      </c>
      <c r="G66">
        <v>2750</v>
      </c>
      <c r="H66" t="str">
        <f>_xlfn.XLOOKUP(Vendas__2[[#This Row],[Vendedor]],Vendedores!$A$4:$A$9,Vendedores!$B$4:$B$9,"",0)</f>
        <v>Sarah</v>
      </c>
      <c r="I66" t="s">
        <v>115</v>
      </c>
    </row>
    <row r="67" spans="1:9">
      <c r="A67" s="70">
        <v>44759</v>
      </c>
      <c r="B67" t="s">
        <v>70</v>
      </c>
      <c r="C67" t="s">
        <v>12</v>
      </c>
      <c r="D67">
        <v>8</v>
      </c>
      <c r="E67">
        <v>146</v>
      </c>
      <c r="F67">
        <v>0.15</v>
      </c>
      <c r="G67">
        <v>1168</v>
      </c>
      <c r="H67" t="str">
        <f>_xlfn.XLOOKUP(Vendas__2[[#This Row],[Vendedor]],Vendedores!$A$4:$A$9,Vendedores!$B$4:$B$9,"",0)</f>
        <v>Sarah</v>
      </c>
      <c r="I67" t="s">
        <v>115</v>
      </c>
    </row>
    <row r="68" spans="1:9">
      <c r="A68" s="70">
        <v>44765</v>
      </c>
      <c r="B68" t="s">
        <v>56</v>
      </c>
      <c r="C68" t="s">
        <v>12</v>
      </c>
      <c r="D68">
        <v>11</v>
      </c>
      <c r="E68">
        <v>299.89999999999998</v>
      </c>
      <c r="F68">
        <v>0.2</v>
      </c>
      <c r="G68">
        <v>3298.9</v>
      </c>
      <c r="H68" t="str">
        <f>_xlfn.XLOOKUP(Vendas__2[[#This Row],[Vendedor]],Vendedores!$A$4:$A$9,Vendedores!$B$4:$B$9,"",0)</f>
        <v>João</v>
      </c>
      <c r="I68" t="s">
        <v>114</v>
      </c>
    </row>
    <row r="69" spans="1:9">
      <c r="A69" s="70">
        <v>44768</v>
      </c>
      <c r="B69" t="s">
        <v>98</v>
      </c>
      <c r="C69" t="s">
        <v>12</v>
      </c>
      <c r="D69">
        <v>1</v>
      </c>
      <c r="E69">
        <v>32.9</v>
      </c>
      <c r="F69">
        <v>0.1</v>
      </c>
      <c r="G69">
        <v>32.9</v>
      </c>
      <c r="H69" t="str">
        <f>_xlfn.XLOOKUP(Vendas__2[[#This Row],[Vendedor]],Vendedores!$A$4:$A$9,Vendedores!$B$4:$B$9,"",0)</f>
        <v>João</v>
      </c>
      <c r="I69" t="s">
        <v>114</v>
      </c>
    </row>
    <row r="70" spans="1:9">
      <c r="A70" s="70">
        <v>44770</v>
      </c>
      <c r="B70" t="s">
        <v>101</v>
      </c>
      <c r="C70" t="s">
        <v>12</v>
      </c>
      <c r="D70">
        <v>2</v>
      </c>
      <c r="E70">
        <v>49.9</v>
      </c>
      <c r="F70">
        <v>0.15</v>
      </c>
      <c r="G70">
        <v>99.8</v>
      </c>
      <c r="H70" t="str">
        <f>_xlfn.XLOOKUP(Vendas__2[[#This Row],[Vendedor]],Vendedores!$A$4:$A$9,Vendedores!$B$4:$B$9,"",0)</f>
        <v>João</v>
      </c>
      <c r="I70" t="s">
        <v>114</v>
      </c>
    </row>
    <row r="71" spans="1:9">
      <c r="A71" s="70">
        <v>44771</v>
      </c>
      <c r="B71" t="s">
        <v>89</v>
      </c>
      <c r="C71" t="s">
        <v>12</v>
      </c>
      <c r="D71">
        <v>12</v>
      </c>
      <c r="E71">
        <v>72.5</v>
      </c>
      <c r="F71">
        <v>0.2</v>
      </c>
      <c r="G71">
        <v>870</v>
      </c>
      <c r="H71" t="str">
        <f>_xlfn.XLOOKUP(Vendas__2[[#This Row],[Vendedor]],Vendedores!$A$4:$A$9,Vendedores!$B$4:$B$9,"",0)</f>
        <v>Amanda</v>
      </c>
      <c r="I71" t="s">
        <v>117</v>
      </c>
    </row>
    <row r="72" spans="1:9">
      <c r="A72" s="70">
        <v>44772</v>
      </c>
      <c r="B72" t="s">
        <v>68</v>
      </c>
      <c r="C72" t="s">
        <v>12</v>
      </c>
      <c r="D72">
        <v>4</v>
      </c>
      <c r="E72">
        <v>140</v>
      </c>
      <c r="F72">
        <v>0.2</v>
      </c>
      <c r="G72">
        <v>560</v>
      </c>
      <c r="H72" t="str">
        <f>_xlfn.XLOOKUP(Vendas__2[[#This Row],[Vendedor]],Vendedores!$A$4:$A$9,Vendedores!$B$4:$B$9,"",0)</f>
        <v>Amanda</v>
      </c>
      <c r="I72" t="s">
        <v>117</v>
      </c>
    </row>
    <row r="73" spans="1:9">
      <c r="A73" s="70">
        <v>44778</v>
      </c>
      <c r="B73" t="s">
        <v>64</v>
      </c>
      <c r="C73" t="s">
        <v>14</v>
      </c>
      <c r="D73">
        <v>4</v>
      </c>
      <c r="E73">
        <v>259.89999999999998</v>
      </c>
      <c r="F73">
        <v>0.15</v>
      </c>
      <c r="G73">
        <v>1039.5999999999999</v>
      </c>
      <c r="H73" t="str">
        <f>_xlfn.XLOOKUP(Vendas__2[[#This Row],[Vendedor]],Vendedores!$A$4:$A$9,Vendedores!$B$4:$B$9,"",0)</f>
        <v>Sarah</v>
      </c>
      <c r="I73" t="s">
        <v>115</v>
      </c>
    </row>
    <row r="74" spans="1:9">
      <c r="A74" s="70">
        <v>44779</v>
      </c>
      <c r="B74" t="s">
        <v>34</v>
      </c>
      <c r="C74" t="s">
        <v>12</v>
      </c>
      <c r="D74">
        <v>9</v>
      </c>
      <c r="E74">
        <v>70.900000000000006</v>
      </c>
      <c r="F74">
        <v>0.1</v>
      </c>
      <c r="G74">
        <v>638.1</v>
      </c>
      <c r="H74" t="str">
        <f>_xlfn.XLOOKUP(Vendas__2[[#This Row],[Vendedor]],Vendedores!$A$4:$A$9,Vendedores!$B$4:$B$9,"",0)</f>
        <v>Clara</v>
      </c>
      <c r="I74" t="s">
        <v>116</v>
      </c>
    </row>
    <row r="75" spans="1:9">
      <c r="A75" s="70">
        <v>44780</v>
      </c>
      <c r="B75" t="s">
        <v>107</v>
      </c>
      <c r="C75" t="s">
        <v>12</v>
      </c>
      <c r="D75">
        <v>5</v>
      </c>
      <c r="E75">
        <v>180</v>
      </c>
      <c r="F75">
        <v>0.2</v>
      </c>
      <c r="G75">
        <v>900</v>
      </c>
      <c r="H75" t="str">
        <f>_xlfn.XLOOKUP(Vendas__2[[#This Row],[Vendedor]],Vendedores!$A$4:$A$9,Vendedores!$B$4:$B$9,"",0)</f>
        <v>Amanda</v>
      </c>
      <c r="I75" t="s">
        <v>117</v>
      </c>
    </row>
    <row r="76" spans="1:9">
      <c r="A76" s="70">
        <v>44781</v>
      </c>
      <c r="B76" t="s">
        <v>98</v>
      </c>
      <c r="C76" t="s">
        <v>12</v>
      </c>
      <c r="D76">
        <v>7</v>
      </c>
      <c r="E76">
        <v>32.9</v>
      </c>
      <c r="F76">
        <v>0.15</v>
      </c>
      <c r="G76">
        <v>230.3</v>
      </c>
      <c r="H76" t="str">
        <f>_xlfn.XLOOKUP(Vendas__2[[#This Row],[Vendedor]],Vendedores!$A$4:$A$9,Vendedores!$B$4:$B$9,"",0)</f>
        <v>Bruno</v>
      </c>
      <c r="I76" t="s">
        <v>118</v>
      </c>
    </row>
    <row r="77" spans="1:9">
      <c r="A77" s="70">
        <v>44782</v>
      </c>
      <c r="B77" t="s">
        <v>89</v>
      </c>
      <c r="C77" t="s">
        <v>12</v>
      </c>
      <c r="D77">
        <v>2</v>
      </c>
      <c r="E77">
        <v>72.5</v>
      </c>
      <c r="F77">
        <v>0.15</v>
      </c>
      <c r="G77">
        <v>145</v>
      </c>
      <c r="H77" t="str">
        <f>_xlfn.XLOOKUP(Vendas__2[[#This Row],[Vendedor]],Vendedores!$A$4:$A$9,Vendedores!$B$4:$B$9,"",0)</f>
        <v>Bruno</v>
      </c>
      <c r="I77" t="s">
        <v>118</v>
      </c>
    </row>
    <row r="78" spans="1:9">
      <c r="A78" s="70">
        <v>44783</v>
      </c>
      <c r="B78" t="s">
        <v>50</v>
      </c>
      <c r="C78" t="s">
        <v>13</v>
      </c>
      <c r="D78">
        <v>6</v>
      </c>
      <c r="E78">
        <v>49.9</v>
      </c>
      <c r="F78">
        <v>0.15</v>
      </c>
      <c r="G78">
        <v>299.39999999999998</v>
      </c>
      <c r="H78" t="str">
        <f>_xlfn.XLOOKUP(Vendas__2[[#This Row],[Vendedor]],Vendedores!$A$4:$A$9,Vendedores!$B$4:$B$9,"",0)</f>
        <v>Bruno</v>
      </c>
      <c r="I78" t="s">
        <v>118</v>
      </c>
    </row>
    <row r="79" spans="1:9">
      <c r="A79" s="70">
        <v>44784</v>
      </c>
      <c r="B79" t="s">
        <v>67</v>
      </c>
      <c r="C79" t="s">
        <v>12</v>
      </c>
      <c r="D79">
        <v>1</v>
      </c>
      <c r="E79">
        <v>93.5</v>
      </c>
      <c r="F79">
        <v>0.1</v>
      </c>
      <c r="G79">
        <v>93.5</v>
      </c>
      <c r="H79" t="str">
        <f>_xlfn.XLOOKUP(Vendas__2[[#This Row],[Vendedor]],Vendedores!$A$4:$A$9,Vendedores!$B$4:$B$9,"",0)</f>
        <v>Clara</v>
      </c>
      <c r="I79" t="s">
        <v>116</v>
      </c>
    </row>
    <row r="80" spans="1:9">
      <c r="A80" s="70">
        <v>44785</v>
      </c>
      <c r="B80" t="s">
        <v>60</v>
      </c>
      <c r="C80" t="s">
        <v>14</v>
      </c>
      <c r="D80">
        <v>7</v>
      </c>
      <c r="E80">
        <v>255</v>
      </c>
      <c r="F80">
        <v>0.15</v>
      </c>
      <c r="G80">
        <v>1785</v>
      </c>
      <c r="H80" t="str">
        <f>_xlfn.XLOOKUP(Vendas__2[[#This Row],[Vendedor]],Vendedores!$A$4:$A$9,Vendedores!$B$4:$B$9,"",0)</f>
        <v>Sarah</v>
      </c>
      <c r="I80" t="s">
        <v>115</v>
      </c>
    </row>
    <row r="81" spans="1:9">
      <c r="A81" s="70">
        <v>44786</v>
      </c>
      <c r="B81" t="s">
        <v>57</v>
      </c>
      <c r="C81" t="s">
        <v>13</v>
      </c>
      <c r="D81">
        <v>10</v>
      </c>
      <c r="E81">
        <v>349.9</v>
      </c>
      <c r="F81">
        <v>0.15</v>
      </c>
      <c r="G81">
        <v>3499</v>
      </c>
      <c r="H81" t="str">
        <f>_xlfn.XLOOKUP(Vendas__2[[#This Row],[Vendedor]],Vendedores!$A$4:$A$9,Vendedores!$B$4:$B$9,"",0)</f>
        <v>Bruno</v>
      </c>
      <c r="I81" t="s">
        <v>118</v>
      </c>
    </row>
    <row r="82" spans="1:9">
      <c r="A82" s="70">
        <v>44787</v>
      </c>
      <c r="B82" t="s">
        <v>86</v>
      </c>
      <c r="C82" t="s">
        <v>12</v>
      </c>
      <c r="D82">
        <v>8</v>
      </c>
      <c r="E82">
        <v>54.9</v>
      </c>
      <c r="F82">
        <v>0.2</v>
      </c>
      <c r="G82">
        <v>439.2</v>
      </c>
      <c r="H82" t="str">
        <f>_xlfn.XLOOKUP(Vendas__2[[#This Row],[Vendedor]],Vendedores!$A$4:$A$9,Vendedores!$B$4:$B$9,"",0)</f>
        <v>Amanda</v>
      </c>
      <c r="I82" t="s">
        <v>117</v>
      </c>
    </row>
    <row r="83" spans="1:9">
      <c r="A83" s="70">
        <v>44788</v>
      </c>
      <c r="B83" t="s">
        <v>42</v>
      </c>
      <c r="C83" t="s">
        <v>12</v>
      </c>
      <c r="D83">
        <v>11</v>
      </c>
      <c r="E83">
        <v>46.9</v>
      </c>
      <c r="F83">
        <v>0.2</v>
      </c>
      <c r="G83">
        <v>515.9</v>
      </c>
      <c r="H83" t="str">
        <f>_xlfn.XLOOKUP(Vendas__2[[#This Row],[Vendedor]],Vendedores!$A$4:$A$9,Vendedores!$B$4:$B$9,"",0)</f>
        <v>Amanda</v>
      </c>
      <c r="I83" t="s">
        <v>117</v>
      </c>
    </row>
    <row r="84" spans="1:9">
      <c r="A84" s="70">
        <v>44809</v>
      </c>
      <c r="B84" t="s">
        <v>98</v>
      </c>
      <c r="C84" t="s">
        <v>12</v>
      </c>
      <c r="D84">
        <v>7</v>
      </c>
      <c r="E84">
        <v>32.9</v>
      </c>
      <c r="F84">
        <v>0.15</v>
      </c>
      <c r="G84">
        <v>230.3</v>
      </c>
      <c r="H84" t="str">
        <f>_xlfn.XLOOKUP(Vendas__2[[#This Row],[Vendedor]],Vendedores!$A$4:$A$9,Vendedores!$B$4:$B$9,"",0)</f>
        <v>Bruno</v>
      </c>
      <c r="I84" t="s">
        <v>118</v>
      </c>
    </row>
    <row r="85" spans="1:9">
      <c r="A85" s="70">
        <v>44810</v>
      </c>
      <c r="B85" t="s">
        <v>42</v>
      </c>
      <c r="C85" t="s">
        <v>12</v>
      </c>
      <c r="D85">
        <v>12</v>
      </c>
      <c r="E85">
        <v>46.9</v>
      </c>
      <c r="F85">
        <v>0.2</v>
      </c>
      <c r="G85">
        <v>562.79999999999995</v>
      </c>
      <c r="H85" t="str">
        <f>_xlfn.XLOOKUP(Vendas__2[[#This Row],[Vendedor]],Vendedores!$A$4:$A$9,Vendedores!$B$4:$B$9,"",0)</f>
        <v>João</v>
      </c>
      <c r="I85" t="s">
        <v>114</v>
      </c>
    </row>
    <row r="86" spans="1:9">
      <c r="A86" s="70">
        <v>44811</v>
      </c>
      <c r="B86" t="s">
        <v>51</v>
      </c>
      <c r="C86" t="s">
        <v>12</v>
      </c>
      <c r="D86">
        <v>9</v>
      </c>
      <c r="E86">
        <v>299.89999999999998</v>
      </c>
      <c r="F86">
        <v>0.15</v>
      </c>
      <c r="G86">
        <v>2699.1</v>
      </c>
      <c r="H86" t="str">
        <f>_xlfn.XLOOKUP(Vendas__2[[#This Row],[Vendedor]],Vendedores!$A$4:$A$9,Vendedores!$B$4:$B$9,"",0)</f>
        <v>Sarah</v>
      </c>
      <c r="I86" t="s">
        <v>115</v>
      </c>
    </row>
    <row r="87" spans="1:9">
      <c r="A87" s="70">
        <v>44812</v>
      </c>
      <c r="B87" t="s">
        <v>91</v>
      </c>
      <c r="C87" t="s">
        <v>12</v>
      </c>
      <c r="D87">
        <v>6</v>
      </c>
      <c r="E87">
        <v>289.89999999999998</v>
      </c>
      <c r="F87">
        <v>0.1</v>
      </c>
      <c r="G87">
        <v>1739.4</v>
      </c>
      <c r="H87" t="str">
        <f>_xlfn.XLOOKUP(Vendas__2[[#This Row],[Vendedor]],Vendedores!$A$4:$A$9,Vendedores!$B$4:$B$9,"",0)</f>
        <v>Clara</v>
      </c>
      <c r="I87" t="s">
        <v>116</v>
      </c>
    </row>
    <row r="88" spans="1:9">
      <c r="A88" s="70">
        <v>44813</v>
      </c>
      <c r="B88" t="s">
        <v>53</v>
      </c>
      <c r="C88" t="s">
        <v>12</v>
      </c>
      <c r="D88">
        <v>2</v>
      </c>
      <c r="E88">
        <v>300</v>
      </c>
      <c r="F88">
        <v>0.15</v>
      </c>
      <c r="G88">
        <v>600</v>
      </c>
      <c r="H88" t="str">
        <f>_xlfn.XLOOKUP(Vendas__2[[#This Row],[Vendedor]],Vendedores!$A$4:$A$9,Vendedores!$B$4:$B$9,"",0)</f>
        <v>Bruno</v>
      </c>
      <c r="I88" t="s">
        <v>118</v>
      </c>
    </row>
    <row r="89" spans="1:9">
      <c r="A89" s="70">
        <v>44814</v>
      </c>
      <c r="B89" t="s">
        <v>64</v>
      </c>
      <c r="C89" t="s">
        <v>14</v>
      </c>
      <c r="D89">
        <v>3</v>
      </c>
      <c r="E89">
        <v>259.89999999999998</v>
      </c>
      <c r="F89">
        <v>0.1</v>
      </c>
      <c r="G89">
        <v>779.7</v>
      </c>
      <c r="H89" t="str">
        <f>_xlfn.XLOOKUP(Vendas__2[[#This Row],[Vendedor]],Vendedores!$A$4:$A$9,Vendedores!$B$4:$B$9,"",0)</f>
        <v>Clara</v>
      </c>
      <c r="I89" t="s">
        <v>116</v>
      </c>
    </row>
    <row r="90" spans="1:9">
      <c r="A90" s="70">
        <v>44815</v>
      </c>
      <c r="B90" t="s">
        <v>38</v>
      </c>
      <c r="C90" t="s">
        <v>12</v>
      </c>
      <c r="D90">
        <v>9</v>
      </c>
      <c r="E90">
        <v>85.9</v>
      </c>
      <c r="F90">
        <v>0.2</v>
      </c>
      <c r="G90">
        <v>773.1</v>
      </c>
      <c r="H90" t="str">
        <f>_xlfn.XLOOKUP(Vendas__2[[#This Row],[Vendedor]],Vendedores!$A$4:$A$9,Vendedores!$B$4:$B$9,"",0)</f>
        <v>Amanda</v>
      </c>
      <c r="I90" t="s">
        <v>117</v>
      </c>
    </row>
    <row r="91" spans="1:9">
      <c r="A91" s="70">
        <v>44816</v>
      </c>
      <c r="B91" t="s">
        <v>90</v>
      </c>
      <c r="C91" t="s">
        <v>12</v>
      </c>
      <c r="D91">
        <v>4</v>
      </c>
      <c r="E91">
        <v>72.5</v>
      </c>
      <c r="F91">
        <v>0.2</v>
      </c>
      <c r="G91">
        <v>290</v>
      </c>
      <c r="H91" t="str">
        <f>_xlfn.XLOOKUP(Vendas__2[[#This Row],[Vendedor]],Vendedores!$A$4:$A$9,Vendedores!$B$4:$B$9,"",0)</f>
        <v>João</v>
      </c>
      <c r="I91" t="s">
        <v>114</v>
      </c>
    </row>
    <row r="92" spans="1:9">
      <c r="A92" s="70">
        <v>44817</v>
      </c>
      <c r="B92" t="s">
        <v>106</v>
      </c>
      <c r="C92" t="s">
        <v>14</v>
      </c>
      <c r="D92">
        <v>1</v>
      </c>
      <c r="E92">
        <v>89.9</v>
      </c>
      <c r="F92">
        <v>0</v>
      </c>
      <c r="G92">
        <v>89.9</v>
      </c>
      <c r="H92" t="str">
        <f>_xlfn.XLOOKUP(Vendas__2[[#This Row],[Vendedor]],Vendedores!$A$4:$A$9,Vendedores!$B$4:$B$9,"",0)</f>
        <v>Amanda</v>
      </c>
      <c r="I92" t="s">
        <v>117</v>
      </c>
    </row>
    <row r="93" spans="1:9">
      <c r="A93" s="70">
        <v>44818</v>
      </c>
      <c r="B93" t="s">
        <v>52</v>
      </c>
      <c r="C93" t="s">
        <v>12</v>
      </c>
      <c r="D93">
        <v>11</v>
      </c>
      <c r="E93">
        <v>302.89999999999998</v>
      </c>
      <c r="F93">
        <v>0.15</v>
      </c>
      <c r="G93">
        <v>3331.9</v>
      </c>
      <c r="H93" t="str">
        <f>_xlfn.XLOOKUP(Vendas__2[[#This Row],[Vendedor]],Vendedores!$A$4:$A$9,Vendedores!$B$4:$B$9,"",0)</f>
        <v>Bruno</v>
      </c>
      <c r="I93" t="s">
        <v>118</v>
      </c>
    </row>
    <row r="94" spans="1:9">
      <c r="A94" s="70">
        <v>44819</v>
      </c>
      <c r="B94" t="s">
        <v>49</v>
      </c>
      <c r="C94" t="s">
        <v>12</v>
      </c>
      <c r="D94">
        <v>6</v>
      </c>
      <c r="E94">
        <v>32.9</v>
      </c>
      <c r="F94">
        <v>0.2</v>
      </c>
      <c r="G94">
        <v>197.4</v>
      </c>
      <c r="H94" t="str">
        <f>_xlfn.XLOOKUP(Vendas__2[[#This Row],[Vendedor]],Vendedores!$A$4:$A$9,Vendedores!$B$4:$B$9,"",0)</f>
        <v>João</v>
      </c>
      <c r="I94" t="s">
        <v>114</v>
      </c>
    </row>
    <row r="95" spans="1:9">
      <c r="A95" s="70">
        <v>44839</v>
      </c>
      <c r="B95" t="s">
        <v>84</v>
      </c>
      <c r="C95" t="s">
        <v>12</v>
      </c>
      <c r="D95">
        <v>5</v>
      </c>
      <c r="E95">
        <v>70</v>
      </c>
      <c r="F95">
        <v>0.15</v>
      </c>
      <c r="G95">
        <v>350</v>
      </c>
      <c r="H95" t="str">
        <f>_xlfn.XLOOKUP(Vendas__2[[#This Row],[Vendedor]],Vendedores!$A$4:$A$9,Vendedores!$B$4:$B$9,"",0)</f>
        <v>Bruno</v>
      </c>
      <c r="I95" t="s">
        <v>118</v>
      </c>
    </row>
    <row r="96" spans="1:9">
      <c r="A96" s="70">
        <v>44840</v>
      </c>
      <c r="B96" t="s">
        <v>44</v>
      </c>
      <c r="C96" t="s">
        <v>12</v>
      </c>
      <c r="D96">
        <v>10</v>
      </c>
      <c r="E96">
        <v>39.9</v>
      </c>
      <c r="F96">
        <v>0.2</v>
      </c>
      <c r="G96">
        <v>399</v>
      </c>
      <c r="H96" t="str">
        <f>_xlfn.XLOOKUP(Vendas__2[[#This Row],[Vendedor]],Vendedores!$A$4:$A$9,Vendedores!$B$4:$B$9,"",0)</f>
        <v>João</v>
      </c>
      <c r="I96" t="s">
        <v>114</v>
      </c>
    </row>
    <row r="97" spans="1:9">
      <c r="A97" s="70">
        <v>44841</v>
      </c>
      <c r="B97" t="s">
        <v>34</v>
      </c>
      <c r="C97" t="s">
        <v>12</v>
      </c>
      <c r="D97">
        <v>8</v>
      </c>
      <c r="E97">
        <v>70.900000000000006</v>
      </c>
      <c r="F97">
        <v>0.15</v>
      </c>
      <c r="G97">
        <v>567.20000000000005</v>
      </c>
      <c r="H97" t="str">
        <f>_xlfn.XLOOKUP(Vendas__2[[#This Row],[Vendedor]],Vendedores!$A$4:$A$9,Vendedores!$B$4:$B$9,"",0)</f>
        <v>Sarah</v>
      </c>
      <c r="I97" t="s">
        <v>115</v>
      </c>
    </row>
    <row r="98" spans="1:9">
      <c r="A98" s="70">
        <v>44842</v>
      </c>
      <c r="B98" t="s">
        <v>36</v>
      </c>
      <c r="C98" t="s">
        <v>13</v>
      </c>
      <c r="D98">
        <v>11</v>
      </c>
      <c r="E98">
        <v>259.89999999999998</v>
      </c>
      <c r="F98">
        <v>0.2</v>
      </c>
      <c r="G98">
        <v>2858.9</v>
      </c>
      <c r="H98" t="str">
        <f>_xlfn.XLOOKUP(Vendas__2[[#This Row],[Vendedor]],Vendedores!$A$4:$A$9,Vendedores!$B$4:$B$9,"",0)</f>
        <v>Amanda</v>
      </c>
      <c r="I98" t="s">
        <v>117</v>
      </c>
    </row>
    <row r="99" spans="1:9">
      <c r="A99" s="70">
        <v>44843</v>
      </c>
      <c r="B99" t="s">
        <v>93</v>
      </c>
      <c r="C99" t="s">
        <v>12</v>
      </c>
      <c r="D99">
        <v>4</v>
      </c>
      <c r="E99">
        <v>289.89999999999998</v>
      </c>
      <c r="F99">
        <v>0.2</v>
      </c>
      <c r="G99">
        <v>1159.5999999999999</v>
      </c>
      <c r="H99" t="str">
        <f>_xlfn.XLOOKUP(Vendas__2[[#This Row],[Vendedor]],Vendedores!$A$4:$A$9,Vendedores!$B$4:$B$9,"",0)</f>
        <v>Amanda</v>
      </c>
      <c r="I99" t="s">
        <v>117</v>
      </c>
    </row>
    <row r="100" spans="1:9">
      <c r="A100" s="70">
        <v>44844</v>
      </c>
      <c r="B100" t="s">
        <v>57</v>
      </c>
      <c r="C100" t="s">
        <v>13</v>
      </c>
      <c r="D100">
        <v>2</v>
      </c>
      <c r="E100">
        <v>349.9</v>
      </c>
      <c r="F100">
        <v>0.05</v>
      </c>
      <c r="G100">
        <v>699.8</v>
      </c>
      <c r="H100" t="str">
        <f>_xlfn.XLOOKUP(Vendas__2[[#This Row],[Vendedor]],Vendedores!$A$4:$A$9,Vendedores!$B$4:$B$9,"",0)</f>
        <v>João</v>
      </c>
      <c r="I100" t="s">
        <v>114</v>
      </c>
    </row>
    <row r="101" spans="1:9">
      <c r="A101" s="70">
        <v>44845</v>
      </c>
      <c r="B101" t="s">
        <v>99</v>
      </c>
      <c r="C101" t="s">
        <v>12</v>
      </c>
      <c r="D101">
        <v>11</v>
      </c>
      <c r="E101">
        <v>49.9</v>
      </c>
      <c r="F101">
        <v>0.1</v>
      </c>
      <c r="G101">
        <v>548.9</v>
      </c>
      <c r="H101" t="str">
        <f>_xlfn.XLOOKUP(Vendas__2[[#This Row],[Vendedor]],Vendedores!$A$4:$A$9,Vendedores!$B$4:$B$9,"",0)</f>
        <v>Clara</v>
      </c>
      <c r="I101" t="s">
        <v>116</v>
      </c>
    </row>
    <row r="102" spans="1:9">
      <c r="A102" s="70">
        <v>44846</v>
      </c>
      <c r="B102" t="s">
        <v>46</v>
      </c>
      <c r="C102" t="s">
        <v>12</v>
      </c>
      <c r="D102">
        <v>8</v>
      </c>
      <c r="E102">
        <v>42.5</v>
      </c>
      <c r="F102">
        <v>0.2</v>
      </c>
      <c r="G102">
        <v>340</v>
      </c>
      <c r="H102" t="str">
        <f>_xlfn.XLOOKUP(Vendas__2[[#This Row],[Vendedor]],Vendedores!$A$4:$A$9,Vendedores!$B$4:$B$9,"",0)</f>
        <v>Amanda</v>
      </c>
      <c r="I102" t="s">
        <v>117</v>
      </c>
    </row>
    <row r="103" spans="1:9">
      <c r="A103" s="70">
        <v>44847</v>
      </c>
      <c r="B103" t="s">
        <v>97</v>
      </c>
      <c r="C103" t="s">
        <v>12</v>
      </c>
      <c r="D103">
        <v>12</v>
      </c>
      <c r="E103">
        <v>32.9</v>
      </c>
      <c r="F103">
        <v>0.15</v>
      </c>
      <c r="G103">
        <v>394.8</v>
      </c>
      <c r="H103" t="str">
        <f>_xlfn.XLOOKUP(Vendas__2[[#This Row],[Vendedor]],Vendedores!$A$4:$A$9,Vendedores!$B$4:$B$9,"",0)</f>
        <v>Bruno</v>
      </c>
      <c r="I103" t="s">
        <v>118</v>
      </c>
    </row>
    <row r="104" spans="1:9">
      <c r="A104" s="70">
        <v>44848</v>
      </c>
      <c r="B104" t="s">
        <v>90</v>
      </c>
      <c r="C104" t="s">
        <v>12</v>
      </c>
      <c r="D104">
        <v>7</v>
      </c>
      <c r="E104">
        <v>72.5</v>
      </c>
      <c r="F104">
        <v>0.15</v>
      </c>
      <c r="G104">
        <v>507.5</v>
      </c>
      <c r="H104" t="str">
        <f>_xlfn.XLOOKUP(Vendas__2[[#This Row],[Vendedor]],Vendedores!$A$4:$A$9,Vendedores!$B$4:$B$9,"",0)</f>
        <v>Bruno</v>
      </c>
      <c r="I104" t="s">
        <v>118</v>
      </c>
    </row>
    <row r="105" spans="1:9">
      <c r="A105" s="70">
        <v>44849</v>
      </c>
      <c r="B105" t="s">
        <v>63</v>
      </c>
      <c r="C105" t="s">
        <v>14</v>
      </c>
      <c r="D105">
        <v>6</v>
      </c>
      <c r="E105">
        <v>250</v>
      </c>
      <c r="F105">
        <v>0.15</v>
      </c>
      <c r="G105">
        <v>1500</v>
      </c>
      <c r="H105" t="str">
        <f>_xlfn.XLOOKUP(Vendas__2[[#This Row],[Vendedor]],Vendedores!$A$4:$A$9,Vendedores!$B$4:$B$9,"",0)</f>
        <v>Sarah</v>
      </c>
      <c r="I105" t="s">
        <v>115</v>
      </c>
    </row>
    <row r="106" spans="1:9">
      <c r="A106" s="70">
        <v>44870</v>
      </c>
      <c r="B106" t="s">
        <v>70</v>
      </c>
      <c r="C106" t="s">
        <v>12</v>
      </c>
      <c r="D106">
        <v>4</v>
      </c>
      <c r="E106">
        <v>146</v>
      </c>
      <c r="F106">
        <v>0.15</v>
      </c>
      <c r="G106">
        <v>584</v>
      </c>
      <c r="H106" t="str">
        <f>_xlfn.XLOOKUP(Vendas__2[[#This Row],[Vendedor]],Vendedores!$A$4:$A$9,Vendedores!$B$4:$B$9,"",0)</f>
        <v>Sarah</v>
      </c>
      <c r="I106" t="s">
        <v>115</v>
      </c>
    </row>
    <row r="107" spans="1:9">
      <c r="A107" s="70">
        <v>44871</v>
      </c>
      <c r="B107" t="s">
        <v>48</v>
      </c>
      <c r="C107" t="s">
        <v>12</v>
      </c>
      <c r="D107">
        <v>7</v>
      </c>
      <c r="E107">
        <v>29.9</v>
      </c>
      <c r="F107">
        <v>0.15</v>
      </c>
      <c r="G107">
        <v>209.3</v>
      </c>
      <c r="H107" t="str">
        <f>_xlfn.XLOOKUP(Vendas__2[[#This Row],[Vendedor]],Vendedores!$A$4:$A$9,Vendedores!$B$4:$B$9,"",0)</f>
        <v>Bruno</v>
      </c>
      <c r="I107" t="s">
        <v>118</v>
      </c>
    </row>
    <row r="108" spans="1:9">
      <c r="A108" s="70">
        <v>44872</v>
      </c>
      <c r="B108" t="s">
        <v>47</v>
      </c>
      <c r="C108" t="s">
        <v>12</v>
      </c>
      <c r="D108">
        <v>1</v>
      </c>
      <c r="E108">
        <v>25.9</v>
      </c>
      <c r="F108">
        <v>0.1</v>
      </c>
      <c r="G108">
        <v>25.9</v>
      </c>
      <c r="H108" t="str">
        <f>_xlfn.XLOOKUP(Vendas__2[[#This Row],[Vendedor]],Vendedores!$A$4:$A$9,Vendedores!$B$4:$B$9,"",0)</f>
        <v>Clara</v>
      </c>
      <c r="I108" t="s">
        <v>116</v>
      </c>
    </row>
    <row r="109" spans="1:9">
      <c r="A109" s="70">
        <v>44873</v>
      </c>
      <c r="B109" t="s">
        <v>89</v>
      </c>
      <c r="C109" t="s">
        <v>12</v>
      </c>
      <c r="D109">
        <v>10</v>
      </c>
      <c r="E109">
        <v>72.5</v>
      </c>
      <c r="F109">
        <v>0.15</v>
      </c>
      <c r="G109">
        <v>725</v>
      </c>
      <c r="H109" t="str">
        <f>_xlfn.XLOOKUP(Vendas__2[[#This Row],[Vendedor]],Vendedores!$A$4:$A$9,Vendedores!$B$4:$B$9,"",0)</f>
        <v>Sarah</v>
      </c>
      <c r="I109" t="s">
        <v>115</v>
      </c>
    </row>
    <row r="110" spans="1:9">
      <c r="A110" s="70">
        <v>44874</v>
      </c>
      <c r="B110" t="s">
        <v>103</v>
      </c>
      <c r="C110" t="s">
        <v>14</v>
      </c>
      <c r="D110">
        <v>8</v>
      </c>
      <c r="E110">
        <v>89.9</v>
      </c>
      <c r="F110">
        <v>0.1</v>
      </c>
      <c r="G110">
        <v>719.2</v>
      </c>
      <c r="H110" t="str">
        <f>_xlfn.XLOOKUP(Vendas__2[[#This Row],[Vendedor]],Vendedores!$A$4:$A$9,Vendedores!$B$4:$B$9,"",0)</f>
        <v>Clara</v>
      </c>
      <c r="I110" t="s">
        <v>116</v>
      </c>
    </row>
    <row r="111" spans="1:9">
      <c r="A111" s="70">
        <v>44875</v>
      </c>
      <c r="B111" t="s">
        <v>70</v>
      </c>
      <c r="C111" t="s">
        <v>12</v>
      </c>
      <c r="D111">
        <v>9</v>
      </c>
      <c r="E111">
        <v>146</v>
      </c>
      <c r="F111">
        <v>0.1</v>
      </c>
      <c r="G111">
        <v>1314</v>
      </c>
      <c r="H111" t="str">
        <f>_xlfn.XLOOKUP(Vendas__2[[#This Row],[Vendedor]],Vendedores!$A$4:$A$9,Vendedores!$B$4:$B$9,"",0)</f>
        <v>Clara</v>
      </c>
      <c r="I111" t="s">
        <v>116</v>
      </c>
    </row>
    <row r="112" spans="1:9">
      <c r="A112" s="70">
        <v>44876</v>
      </c>
      <c r="B112" t="s">
        <v>104</v>
      </c>
      <c r="C112" t="s">
        <v>14</v>
      </c>
      <c r="D112">
        <v>3</v>
      </c>
      <c r="E112">
        <v>89.9</v>
      </c>
      <c r="F112">
        <v>0.15</v>
      </c>
      <c r="G112">
        <v>269.7</v>
      </c>
      <c r="H112" t="str">
        <f>_xlfn.XLOOKUP(Vendas__2[[#This Row],[Vendedor]],Vendedores!$A$4:$A$9,Vendedores!$B$4:$B$9,"",0)</f>
        <v>Amanda</v>
      </c>
      <c r="I112" t="s">
        <v>117</v>
      </c>
    </row>
    <row r="113" spans="1:9">
      <c r="A113" s="70">
        <v>44877</v>
      </c>
      <c r="B113" t="s">
        <v>50</v>
      </c>
      <c r="C113" t="s">
        <v>13</v>
      </c>
      <c r="D113">
        <v>3</v>
      </c>
      <c r="E113">
        <v>49.9</v>
      </c>
      <c r="F113">
        <v>0.15</v>
      </c>
      <c r="G113">
        <v>149.69999999999999</v>
      </c>
      <c r="H113" t="str">
        <f>_xlfn.XLOOKUP(Vendas__2[[#This Row],[Vendedor]],Vendedores!$A$4:$A$9,Vendedores!$B$4:$B$9,"",0)</f>
        <v>Amanda</v>
      </c>
      <c r="I113" t="s">
        <v>117</v>
      </c>
    </row>
    <row r="114" spans="1:9">
      <c r="A114" s="70">
        <v>44878</v>
      </c>
      <c r="B114" t="s">
        <v>59</v>
      </c>
      <c r="C114" t="s">
        <v>14</v>
      </c>
      <c r="D114">
        <v>3</v>
      </c>
      <c r="E114">
        <v>249.9</v>
      </c>
      <c r="F114">
        <v>0.1</v>
      </c>
      <c r="G114">
        <v>749.7</v>
      </c>
      <c r="H114" t="str">
        <f>_xlfn.XLOOKUP(Vendas__2[[#This Row],[Vendedor]],Vendedores!$A$4:$A$9,Vendedores!$B$4:$B$9,"",0)</f>
        <v>Clara</v>
      </c>
      <c r="I114" t="s">
        <v>116</v>
      </c>
    </row>
    <row r="115" spans="1:9">
      <c r="A115" s="70">
        <v>44879</v>
      </c>
      <c r="B115" t="s">
        <v>45</v>
      </c>
      <c r="C115" t="s">
        <v>12</v>
      </c>
      <c r="D115">
        <v>2</v>
      </c>
      <c r="E115">
        <v>39.9</v>
      </c>
      <c r="F115">
        <v>0.15</v>
      </c>
      <c r="G115">
        <v>79.8</v>
      </c>
      <c r="H115" t="str">
        <f>_xlfn.XLOOKUP(Vendas__2[[#This Row],[Vendedor]],Vendedores!$A$4:$A$9,Vendedores!$B$4:$B$9,"",0)</f>
        <v>Sarah</v>
      </c>
      <c r="I115" t="s">
        <v>115</v>
      </c>
    </row>
    <row r="116" spans="1:9">
      <c r="A116" s="70">
        <v>44880</v>
      </c>
      <c r="B116" t="s">
        <v>101</v>
      </c>
      <c r="C116" t="s">
        <v>12</v>
      </c>
      <c r="D116">
        <v>2</v>
      </c>
      <c r="E116">
        <v>49.9</v>
      </c>
      <c r="F116">
        <v>0.15</v>
      </c>
      <c r="G116">
        <v>99.8</v>
      </c>
      <c r="H116" t="str">
        <f>_xlfn.XLOOKUP(Vendas__2[[#This Row],[Vendedor]],Vendedores!$A$4:$A$9,Vendedores!$B$4:$B$9,"",0)</f>
        <v>Sarah</v>
      </c>
      <c r="I116" t="s">
        <v>115</v>
      </c>
    </row>
    <row r="117" spans="1:9">
      <c r="A117" s="70">
        <v>44900</v>
      </c>
      <c r="B117" t="s">
        <v>90</v>
      </c>
      <c r="C117" t="s">
        <v>12</v>
      </c>
      <c r="D117">
        <v>7</v>
      </c>
      <c r="E117">
        <v>72.5</v>
      </c>
      <c r="F117">
        <v>0.2</v>
      </c>
      <c r="G117">
        <v>507.5</v>
      </c>
      <c r="H117" t="str">
        <f>_xlfn.XLOOKUP(Vendas__2[[#This Row],[Vendedor]],Vendedores!$A$4:$A$9,Vendedores!$B$4:$B$9,"",0)</f>
        <v>Amanda</v>
      </c>
      <c r="I117" t="s">
        <v>117</v>
      </c>
    </row>
    <row r="118" spans="1:9">
      <c r="A118" s="70">
        <v>44901</v>
      </c>
      <c r="B118" t="s">
        <v>47</v>
      </c>
      <c r="C118" t="s">
        <v>12</v>
      </c>
      <c r="D118">
        <v>5</v>
      </c>
      <c r="E118">
        <v>25.9</v>
      </c>
      <c r="F118">
        <v>0.1</v>
      </c>
      <c r="G118">
        <v>129.5</v>
      </c>
      <c r="H118" t="str">
        <f>_xlfn.XLOOKUP(Vendas__2[[#This Row],[Vendedor]],Vendedores!$A$4:$A$9,Vendedores!$B$4:$B$9,"",0)</f>
        <v>Clara</v>
      </c>
      <c r="I118" t="s">
        <v>116</v>
      </c>
    </row>
    <row r="119" spans="1:9">
      <c r="A119" s="70">
        <v>44902</v>
      </c>
      <c r="B119" t="s">
        <v>63</v>
      </c>
      <c r="C119" t="s">
        <v>14</v>
      </c>
      <c r="D119">
        <v>6</v>
      </c>
      <c r="E119">
        <v>250</v>
      </c>
      <c r="F119">
        <v>0.15</v>
      </c>
      <c r="G119">
        <v>1500</v>
      </c>
      <c r="H119" t="str">
        <f>_xlfn.XLOOKUP(Vendas__2[[#This Row],[Vendedor]],Vendedores!$A$4:$A$9,Vendedores!$B$4:$B$9,"",0)</f>
        <v>Sarah</v>
      </c>
      <c r="I119" t="s">
        <v>115</v>
      </c>
    </row>
    <row r="120" spans="1:9">
      <c r="A120" s="70">
        <v>44903</v>
      </c>
      <c r="B120" t="s">
        <v>36</v>
      </c>
      <c r="C120" t="s">
        <v>13</v>
      </c>
      <c r="D120">
        <v>10</v>
      </c>
      <c r="E120">
        <v>259.89999999999998</v>
      </c>
      <c r="F120">
        <v>0.15</v>
      </c>
      <c r="G120">
        <v>2599</v>
      </c>
      <c r="H120" t="str">
        <f>_xlfn.XLOOKUP(Vendas__2[[#This Row],[Vendedor]],Vendedores!$A$4:$A$9,Vendedores!$B$4:$B$9,"",0)</f>
        <v>Bruno</v>
      </c>
      <c r="I120" t="s">
        <v>118</v>
      </c>
    </row>
    <row r="121" spans="1:9">
      <c r="A121" s="70">
        <v>44904</v>
      </c>
      <c r="B121" t="s">
        <v>91</v>
      </c>
      <c r="C121" t="s">
        <v>12</v>
      </c>
      <c r="D121">
        <v>3</v>
      </c>
      <c r="E121">
        <v>289.89999999999998</v>
      </c>
      <c r="F121">
        <v>0.2</v>
      </c>
      <c r="G121">
        <v>869.7</v>
      </c>
      <c r="H121" t="str">
        <f>_xlfn.XLOOKUP(Vendas__2[[#This Row],[Vendedor]],Vendedores!$A$4:$A$9,Vendedores!$B$4:$B$9,"",0)</f>
        <v>João</v>
      </c>
      <c r="I121" t="s">
        <v>114</v>
      </c>
    </row>
    <row r="122" spans="1:9">
      <c r="A122" s="70">
        <v>44905</v>
      </c>
      <c r="B122" t="s">
        <v>52</v>
      </c>
      <c r="C122" t="s">
        <v>12</v>
      </c>
      <c r="D122">
        <v>4</v>
      </c>
      <c r="E122">
        <v>302.89999999999998</v>
      </c>
      <c r="F122">
        <v>0.15</v>
      </c>
      <c r="G122">
        <v>1211.5999999999999</v>
      </c>
      <c r="H122" t="str">
        <f>_xlfn.XLOOKUP(Vendas__2[[#This Row],[Vendedor]],Vendedores!$A$4:$A$9,Vendedores!$B$4:$B$9,"",0)</f>
        <v>Bruno</v>
      </c>
      <c r="I122" t="s">
        <v>118</v>
      </c>
    </row>
    <row r="123" spans="1:9">
      <c r="A123" s="70">
        <v>44906</v>
      </c>
      <c r="B123" t="s">
        <v>110</v>
      </c>
      <c r="C123" t="s">
        <v>12</v>
      </c>
      <c r="D123">
        <v>9</v>
      </c>
      <c r="E123">
        <v>180</v>
      </c>
      <c r="F123">
        <v>0.15</v>
      </c>
      <c r="G123">
        <v>1620</v>
      </c>
      <c r="H123" t="str">
        <f>_xlfn.XLOOKUP(Vendas__2[[#This Row],[Vendedor]],Vendedores!$A$4:$A$9,Vendedores!$B$4:$B$9,"",0)</f>
        <v>Bruno</v>
      </c>
      <c r="I123" t="s">
        <v>118</v>
      </c>
    </row>
    <row r="124" spans="1:9">
      <c r="A124" s="70">
        <v>44907</v>
      </c>
      <c r="B124" t="s">
        <v>32</v>
      </c>
      <c r="C124" t="s">
        <v>12</v>
      </c>
      <c r="D124">
        <v>5</v>
      </c>
      <c r="E124">
        <v>65.900000000000006</v>
      </c>
      <c r="F124">
        <v>0.15</v>
      </c>
      <c r="G124">
        <v>329.5</v>
      </c>
      <c r="H124" t="str">
        <f>_xlfn.XLOOKUP(Vendas__2[[#This Row],[Vendedor]],Vendedores!$A$4:$A$9,Vendedores!$B$4:$B$9,"",0)</f>
        <v>Sarah</v>
      </c>
      <c r="I124" t="s">
        <v>115</v>
      </c>
    </row>
    <row r="125" spans="1:9">
      <c r="A125" s="70">
        <v>44908</v>
      </c>
      <c r="B125" t="s">
        <v>43</v>
      </c>
      <c r="C125" t="s">
        <v>12</v>
      </c>
      <c r="D125">
        <v>10</v>
      </c>
      <c r="E125">
        <v>48.9</v>
      </c>
      <c r="F125">
        <v>0.1</v>
      </c>
      <c r="G125">
        <v>489</v>
      </c>
      <c r="H125" t="str">
        <f>_xlfn.XLOOKUP(Vendas__2[[#This Row],[Vendedor]],Vendedores!$A$4:$A$9,Vendedores!$B$4:$B$9,"",0)</f>
        <v>Clara</v>
      </c>
      <c r="I125" t="s">
        <v>116</v>
      </c>
    </row>
    <row r="126" spans="1:9">
      <c r="A126" s="70">
        <v>44909</v>
      </c>
      <c r="B126" t="s">
        <v>91</v>
      </c>
      <c r="C126" t="s">
        <v>12</v>
      </c>
      <c r="D126">
        <v>2</v>
      </c>
      <c r="E126">
        <v>289.89999999999998</v>
      </c>
      <c r="F126">
        <v>0.15</v>
      </c>
      <c r="G126">
        <v>579.79999999999995</v>
      </c>
      <c r="H126" t="str">
        <f>_xlfn.XLOOKUP(Vendas__2[[#This Row],[Vendedor]],Vendedores!$A$4:$A$9,Vendedores!$B$4:$B$9,"",0)</f>
        <v>Sarah</v>
      </c>
      <c r="I126" t="s">
        <v>115</v>
      </c>
    </row>
    <row r="127" spans="1:9">
      <c r="A127" s="70">
        <v>44910</v>
      </c>
      <c r="B127" t="s">
        <v>65</v>
      </c>
      <c r="C127" t="s">
        <v>12</v>
      </c>
      <c r="D127">
        <v>2</v>
      </c>
      <c r="E127">
        <v>89.9</v>
      </c>
      <c r="F127">
        <v>0.15</v>
      </c>
      <c r="G127">
        <v>179.8</v>
      </c>
      <c r="H127" t="str">
        <f>_xlfn.XLOOKUP(Vendas__2[[#This Row],[Vendedor]],Vendedores!$A$4:$A$9,Vendedores!$B$4:$B$9,"",0)</f>
        <v>Amanda</v>
      </c>
      <c r="I127" t="s">
        <v>117</v>
      </c>
    </row>
    <row r="128" spans="1:9">
      <c r="A128" s="70">
        <v>44201</v>
      </c>
      <c r="B128" t="s">
        <v>107</v>
      </c>
      <c r="C128" t="s">
        <v>12</v>
      </c>
      <c r="D128">
        <v>11</v>
      </c>
      <c r="E128">
        <v>180</v>
      </c>
      <c r="F128">
        <v>0.2</v>
      </c>
      <c r="G128">
        <v>1980</v>
      </c>
      <c r="H128" t="str">
        <f>_xlfn.XLOOKUP(Vendas__2[[#This Row],[Vendedor]],Vendedores!$A$4:$A$9,Vendedores!$B$4:$B$9,"",0)</f>
        <v>João</v>
      </c>
      <c r="I128" t="s">
        <v>114</v>
      </c>
    </row>
    <row r="129" spans="1:9">
      <c r="A129" s="70">
        <v>44202</v>
      </c>
      <c r="B129" t="s">
        <v>85</v>
      </c>
      <c r="C129" t="s">
        <v>12</v>
      </c>
      <c r="D129">
        <v>3</v>
      </c>
      <c r="E129">
        <v>54.9</v>
      </c>
      <c r="F129">
        <v>0.2</v>
      </c>
      <c r="G129">
        <v>164.7</v>
      </c>
      <c r="H129" t="str">
        <f>_xlfn.XLOOKUP(Vendas__2[[#This Row],[Vendedor]],Vendedores!$A$4:$A$9,Vendedores!$B$4:$B$9,"",0)</f>
        <v>João</v>
      </c>
      <c r="I129" t="s">
        <v>114</v>
      </c>
    </row>
    <row r="130" spans="1:9">
      <c r="A130" s="70">
        <v>44203</v>
      </c>
      <c r="B130" t="s">
        <v>66</v>
      </c>
      <c r="C130" t="s">
        <v>12</v>
      </c>
      <c r="D130">
        <v>5</v>
      </c>
      <c r="E130">
        <v>91.4</v>
      </c>
      <c r="F130">
        <v>0.15</v>
      </c>
      <c r="G130">
        <v>457</v>
      </c>
      <c r="H130" t="str">
        <f>_xlfn.XLOOKUP(Vendas__2[[#This Row],[Vendedor]],Vendedores!$A$4:$A$9,Vendedores!$B$4:$B$9,"",0)</f>
        <v>Bruno</v>
      </c>
      <c r="I130" t="s">
        <v>118</v>
      </c>
    </row>
    <row r="131" spans="1:9">
      <c r="A131" s="70">
        <v>44208</v>
      </c>
      <c r="B131" t="s">
        <v>93</v>
      </c>
      <c r="C131" t="s">
        <v>12</v>
      </c>
      <c r="D131">
        <v>7</v>
      </c>
      <c r="E131">
        <v>289.89999999999998</v>
      </c>
      <c r="F131">
        <v>0.1</v>
      </c>
      <c r="G131">
        <v>2029.3</v>
      </c>
      <c r="H131" t="str">
        <f>_xlfn.XLOOKUP(Vendas__2[[#This Row],[Vendedor]],Vendedores!$A$4:$A$9,Vendedores!$B$4:$B$9,"",0)</f>
        <v>Clara</v>
      </c>
      <c r="I131" t="s">
        <v>116</v>
      </c>
    </row>
    <row r="132" spans="1:9">
      <c r="A132" s="70">
        <v>44209</v>
      </c>
      <c r="B132" t="s">
        <v>43</v>
      </c>
      <c r="C132" t="s">
        <v>12</v>
      </c>
      <c r="D132">
        <v>5</v>
      </c>
      <c r="E132">
        <v>48.9</v>
      </c>
      <c r="F132">
        <v>0.2</v>
      </c>
      <c r="G132">
        <v>244.5</v>
      </c>
      <c r="H132" t="str">
        <f>_xlfn.XLOOKUP(Vendas__2[[#This Row],[Vendedor]],Vendedores!$A$4:$A$9,Vendedores!$B$4:$B$9,"",0)</f>
        <v>Amanda</v>
      </c>
      <c r="I132" t="s">
        <v>117</v>
      </c>
    </row>
    <row r="133" spans="1:9">
      <c r="A133" s="70">
        <v>44213</v>
      </c>
      <c r="B133" t="s">
        <v>36</v>
      </c>
      <c r="C133" t="s">
        <v>13</v>
      </c>
      <c r="D133">
        <v>11</v>
      </c>
      <c r="E133">
        <v>259.89999999999998</v>
      </c>
      <c r="F133">
        <v>0.2</v>
      </c>
      <c r="G133">
        <v>2858.9</v>
      </c>
      <c r="H133" t="str">
        <f>_xlfn.XLOOKUP(Vendas__2[[#This Row],[Vendedor]],Vendedores!$A$4:$A$9,Vendedores!$B$4:$B$9,"",0)</f>
        <v>João</v>
      </c>
      <c r="I133" t="s">
        <v>114</v>
      </c>
    </row>
    <row r="134" spans="1:9">
      <c r="A134" s="70">
        <v>44219</v>
      </c>
      <c r="B134" t="s">
        <v>66</v>
      </c>
      <c r="C134" t="s">
        <v>12</v>
      </c>
      <c r="D134">
        <v>3</v>
      </c>
      <c r="E134">
        <v>91.4</v>
      </c>
      <c r="F134">
        <v>0.1</v>
      </c>
      <c r="G134">
        <v>274.2</v>
      </c>
      <c r="H134" t="str">
        <f>_xlfn.XLOOKUP(Vendas__2[[#This Row],[Vendedor]],Vendedores!$A$4:$A$9,Vendedores!$B$4:$B$9,"",0)</f>
        <v>Clara</v>
      </c>
      <c r="I134" t="s">
        <v>116</v>
      </c>
    </row>
    <row r="135" spans="1:9">
      <c r="A135" s="70">
        <v>44222</v>
      </c>
      <c r="B135" t="s">
        <v>104</v>
      </c>
      <c r="C135" t="s">
        <v>14</v>
      </c>
      <c r="D135">
        <v>3</v>
      </c>
      <c r="E135">
        <v>89.9</v>
      </c>
      <c r="F135">
        <v>0.1</v>
      </c>
      <c r="G135">
        <v>269.7</v>
      </c>
      <c r="H135" t="str">
        <f>_xlfn.XLOOKUP(Vendas__2[[#This Row],[Vendedor]],Vendedores!$A$4:$A$9,Vendedores!$B$4:$B$9,"",0)</f>
        <v>Clara</v>
      </c>
      <c r="I135" t="s">
        <v>116</v>
      </c>
    </row>
    <row r="136" spans="1:9">
      <c r="A136" s="70">
        <v>44224</v>
      </c>
      <c r="B136" t="s">
        <v>37</v>
      </c>
      <c r="C136" t="s">
        <v>13</v>
      </c>
      <c r="D136">
        <v>12</v>
      </c>
      <c r="E136">
        <v>39.9</v>
      </c>
      <c r="F136">
        <v>0.15</v>
      </c>
      <c r="G136">
        <v>478.8</v>
      </c>
      <c r="H136" t="str">
        <f>_xlfn.XLOOKUP(Vendas__2[[#This Row],[Vendedor]],Vendedores!$A$4:$A$9,Vendedores!$B$4:$B$9,"",0)</f>
        <v>Sarah</v>
      </c>
      <c r="I136" t="s">
        <v>115</v>
      </c>
    </row>
    <row r="137" spans="1:9">
      <c r="A137" s="70">
        <v>44225</v>
      </c>
      <c r="B137" t="s">
        <v>50</v>
      </c>
      <c r="C137" t="s">
        <v>13</v>
      </c>
      <c r="D137">
        <v>11</v>
      </c>
      <c r="E137">
        <v>49.9</v>
      </c>
      <c r="F137">
        <v>0.15</v>
      </c>
      <c r="G137">
        <v>548.9</v>
      </c>
      <c r="H137" t="str">
        <f>_xlfn.XLOOKUP(Vendas__2[[#This Row],[Vendedor]],Vendedores!$A$4:$A$9,Vendedores!$B$4:$B$9,"",0)</f>
        <v>Bruno</v>
      </c>
      <c r="I137" t="s">
        <v>118</v>
      </c>
    </row>
    <row r="138" spans="1:9">
      <c r="A138" s="70">
        <v>44226</v>
      </c>
      <c r="B138" t="s">
        <v>55</v>
      </c>
      <c r="C138" t="s">
        <v>12</v>
      </c>
      <c r="D138">
        <v>3</v>
      </c>
      <c r="E138">
        <v>259.89999999999998</v>
      </c>
      <c r="F138">
        <v>0.2</v>
      </c>
      <c r="G138">
        <v>779.7</v>
      </c>
      <c r="H138" t="str">
        <f>_xlfn.XLOOKUP(Vendas__2[[#This Row],[Vendedor]],Vendedores!$A$4:$A$9,Vendedores!$B$4:$B$9,"",0)</f>
        <v>Amanda</v>
      </c>
      <c r="I138" t="s">
        <v>117</v>
      </c>
    </row>
    <row r="139" spans="1:9">
      <c r="A139" s="70">
        <v>44230</v>
      </c>
      <c r="B139" t="s">
        <v>45</v>
      </c>
      <c r="C139" t="s">
        <v>12</v>
      </c>
      <c r="D139">
        <v>10</v>
      </c>
      <c r="E139">
        <v>39.9</v>
      </c>
      <c r="F139">
        <v>0.15</v>
      </c>
      <c r="G139">
        <v>399</v>
      </c>
      <c r="H139" t="str">
        <f>_xlfn.XLOOKUP(Vendas__2[[#This Row],[Vendedor]],Vendedores!$A$4:$A$9,Vendedores!$B$4:$B$9,"",0)</f>
        <v>Sarah</v>
      </c>
      <c r="I139" t="s">
        <v>115</v>
      </c>
    </row>
    <row r="140" spans="1:9">
      <c r="A140" s="70">
        <v>44232</v>
      </c>
      <c r="B140" t="s">
        <v>54</v>
      </c>
      <c r="C140" t="s">
        <v>12</v>
      </c>
      <c r="D140">
        <v>1</v>
      </c>
      <c r="E140">
        <v>249.9</v>
      </c>
      <c r="F140">
        <v>0.1</v>
      </c>
      <c r="G140">
        <v>249.9</v>
      </c>
      <c r="H140" t="str">
        <f>_xlfn.XLOOKUP(Vendas__2[[#This Row],[Vendedor]],Vendedores!$A$4:$A$9,Vendedores!$B$4:$B$9,"",0)</f>
        <v>Amanda</v>
      </c>
      <c r="I140" t="s">
        <v>117</v>
      </c>
    </row>
    <row r="141" spans="1:9">
      <c r="A141" s="70">
        <v>44245</v>
      </c>
      <c r="B141" t="s">
        <v>43</v>
      </c>
      <c r="C141" t="s">
        <v>12</v>
      </c>
      <c r="D141">
        <v>6</v>
      </c>
      <c r="E141">
        <v>48.9</v>
      </c>
      <c r="F141">
        <v>0.15</v>
      </c>
      <c r="G141">
        <v>293.39999999999998</v>
      </c>
      <c r="H141" t="str">
        <f>_xlfn.XLOOKUP(Vendas__2[[#This Row],[Vendedor]],Vendedores!$A$4:$A$9,Vendedores!$B$4:$B$9,"",0)</f>
        <v>Bruno</v>
      </c>
      <c r="I141" t="s">
        <v>118</v>
      </c>
    </row>
    <row r="142" spans="1:9">
      <c r="A142" s="70">
        <v>44248</v>
      </c>
      <c r="B142" t="s">
        <v>51</v>
      </c>
      <c r="C142" t="s">
        <v>12</v>
      </c>
      <c r="D142">
        <v>6</v>
      </c>
      <c r="E142">
        <v>299.89999999999998</v>
      </c>
      <c r="F142">
        <v>0.2</v>
      </c>
      <c r="G142">
        <v>1799.4</v>
      </c>
      <c r="H142" t="str">
        <f>_xlfn.XLOOKUP(Vendas__2[[#This Row],[Vendedor]],Vendedores!$A$4:$A$9,Vendedores!$B$4:$B$9,"",0)</f>
        <v>Amanda</v>
      </c>
      <c r="I142" t="s">
        <v>117</v>
      </c>
    </row>
    <row r="143" spans="1:9">
      <c r="A143" s="70">
        <v>44251</v>
      </c>
      <c r="B143" t="s">
        <v>47</v>
      </c>
      <c r="C143" t="s">
        <v>12</v>
      </c>
      <c r="D143">
        <v>9</v>
      </c>
      <c r="E143">
        <v>25.9</v>
      </c>
      <c r="F143">
        <v>0.2</v>
      </c>
      <c r="G143">
        <v>233.1</v>
      </c>
      <c r="H143" t="str">
        <f>_xlfn.XLOOKUP(Vendas__2[[#This Row],[Vendedor]],Vendedores!$A$4:$A$9,Vendedores!$B$4:$B$9,"",0)</f>
        <v>Amanda</v>
      </c>
      <c r="I143" t="s">
        <v>117</v>
      </c>
    </row>
    <row r="144" spans="1:9">
      <c r="A144" s="70">
        <v>44252</v>
      </c>
      <c r="B144" t="s">
        <v>98</v>
      </c>
      <c r="C144" t="s">
        <v>12</v>
      </c>
      <c r="D144">
        <v>8</v>
      </c>
      <c r="E144">
        <v>32.9</v>
      </c>
      <c r="F144">
        <v>0.2</v>
      </c>
      <c r="G144">
        <v>263.2</v>
      </c>
      <c r="H144" t="str">
        <f>_xlfn.XLOOKUP(Vendas__2[[#This Row],[Vendedor]],Vendedores!$A$4:$A$9,Vendedores!$B$4:$B$9,"",0)</f>
        <v>Amanda</v>
      </c>
      <c r="I144" t="s">
        <v>117</v>
      </c>
    </row>
    <row r="145" spans="1:9">
      <c r="A145" s="70">
        <v>44253</v>
      </c>
      <c r="B145" t="s">
        <v>44</v>
      </c>
      <c r="C145" t="s">
        <v>12</v>
      </c>
      <c r="D145">
        <v>9</v>
      </c>
      <c r="E145">
        <v>39.9</v>
      </c>
      <c r="F145">
        <v>0.15</v>
      </c>
      <c r="G145">
        <v>359.1</v>
      </c>
      <c r="H145" t="str">
        <f>_xlfn.XLOOKUP(Vendas__2[[#This Row],[Vendedor]],Vendedores!$A$4:$A$9,Vendedores!$B$4:$B$9,"",0)</f>
        <v>Bruno</v>
      </c>
      <c r="I145" t="s">
        <v>118</v>
      </c>
    </row>
    <row r="146" spans="1:9">
      <c r="A146" s="70">
        <v>44256</v>
      </c>
      <c r="B146" t="s">
        <v>33</v>
      </c>
      <c r="C146" t="s">
        <v>12</v>
      </c>
      <c r="D146">
        <v>9</v>
      </c>
      <c r="E146">
        <v>69.900000000000006</v>
      </c>
      <c r="F146">
        <v>0.15</v>
      </c>
      <c r="G146">
        <v>629.1</v>
      </c>
      <c r="H146" t="str">
        <f>_xlfn.XLOOKUP(Vendas__2[[#This Row],[Vendedor]],Vendedores!$A$4:$A$9,Vendedores!$B$4:$B$9,"",0)</f>
        <v>Sarah</v>
      </c>
      <c r="I146" t="s">
        <v>115</v>
      </c>
    </row>
    <row r="147" spans="1:9">
      <c r="A147" s="70">
        <v>44256</v>
      </c>
      <c r="B147" t="s">
        <v>36</v>
      </c>
      <c r="C147" t="s">
        <v>13</v>
      </c>
      <c r="D147">
        <v>1</v>
      </c>
      <c r="E147">
        <v>259.89999999999998</v>
      </c>
      <c r="F147">
        <v>0</v>
      </c>
      <c r="G147">
        <v>259.89999999999998</v>
      </c>
      <c r="H147" t="str">
        <f>_xlfn.XLOOKUP(Vendas__2[[#This Row],[Vendedor]],Vendedores!$A$4:$A$9,Vendedores!$B$4:$B$9,"",0)</f>
        <v>Amanda</v>
      </c>
      <c r="I147" t="s">
        <v>117</v>
      </c>
    </row>
    <row r="148" spans="1:9">
      <c r="A148" s="70">
        <v>44257</v>
      </c>
      <c r="B148" t="s">
        <v>38</v>
      </c>
      <c r="C148" t="s">
        <v>12</v>
      </c>
      <c r="D148">
        <v>1</v>
      </c>
      <c r="E148">
        <v>85.9</v>
      </c>
      <c r="F148">
        <v>0.1</v>
      </c>
      <c r="G148">
        <v>85.9</v>
      </c>
      <c r="H148" t="str">
        <f>_xlfn.XLOOKUP(Vendas__2[[#This Row],[Vendedor]],Vendedores!$A$4:$A$9,Vendedores!$B$4:$B$9,"",0)</f>
        <v>Clara</v>
      </c>
      <c r="I148" t="s">
        <v>116</v>
      </c>
    </row>
    <row r="149" spans="1:9">
      <c r="A149" s="70">
        <v>44258</v>
      </c>
      <c r="B149" t="s">
        <v>101</v>
      </c>
      <c r="C149" t="s">
        <v>12</v>
      </c>
      <c r="D149">
        <v>7</v>
      </c>
      <c r="E149">
        <v>49.9</v>
      </c>
      <c r="F149">
        <v>0.2</v>
      </c>
      <c r="G149">
        <v>349.3</v>
      </c>
      <c r="H149" t="str">
        <f>_xlfn.XLOOKUP(Vendas__2[[#This Row],[Vendedor]],Vendedores!$A$4:$A$9,Vendedores!$B$4:$B$9,"",0)</f>
        <v>João</v>
      </c>
      <c r="I149" t="s">
        <v>114</v>
      </c>
    </row>
    <row r="150" spans="1:9">
      <c r="A150" s="70">
        <v>44259</v>
      </c>
      <c r="B150" t="s">
        <v>44</v>
      </c>
      <c r="C150" t="s">
        <v>12</v>
      </c>
      <c r="D150">
        <v>4</v>
      </c>
      <c r="E150">
        <v>39.9</v>
      </c>
      <c r="F150">
        <v>0.1</v>
      </c>
      <c r="G150">
        <v>159.6</v>
      </c>
      <c r="H150" t="str">
        <f>_xlfn.XLOOKUP(Vendas__2[[#This Row],[Vendedor]],Vendedores!$A$4:$A$9,Vendedores!$B$4:$B$9,"",0)</f>
        <v>Clara</v>
      </c>
      <c r="I150" t="s">
        <v>116</v>
      </c>
    </row>
    <row r="151" spans="1:9">
      <c r="A151" s="70">
        <v>44264</v>
      </c>
      <c r="B151" t="s">
        <v>98</v>
      </c>
      <c r="C151" t="s">
        <v>12</v>
      </c>
      <c r="D151">
        <v>5</v>
      </c>
      <c r="E151">
        <v>32.9</v>
      </c>
      <c r="F151">
        <v>0.2</v>
      </c>
      <c r="G151">
        <v>164.5</v>
      </c>
      <c r="H151" t="str">
        <f>_xlfn.XLOOKUP(Vendas__2[[#This Row],[Vendedor]],Vendedores!$A$4:$A$9,Vendedores!$B$4:$B$9,"",0)</f>
        <v>João</v>
      </c>
      <c r="I151" t="s">
        <v>114</v>
      </c>
    </row>
    <row r="152" spans="1:9">
      <c r="A152" s="70">
        <v>44269</v>
      </c>
      <c r="B152" t="s">
        <v>40</v>
      </c>
      <c r="C152" t="s">
        <v>12</v>
      </c>
      <c r="D152">
        <v>8</v>
      </c>
      <c r="E152">
        <v>92.9</v>
      </c>
      <c r="F152">
        <v>0.2</v>
      </c>
      <c r="G152">
        <v>743.2</v>
      </c>
      <c r="H152" t="str">
        <f>_xlfn.XLOOKUP(Vendas__2[[#This Row],[Vendedor]],Vendedores!$A$4:$A$9,Vendedores!$B$4:$B$9,"",0)</f>
        <v>João</v>
      </c>
      <c r="I152" t="s">
        <v>114</v>
      </c>
    </row>
    <row r="153" spans="1:9">
      <c r="A153" s="70">
        <v>44274</v>
      </c>
      <c r="B153" t="s">
        <v>44</v>
      </c>
      <c r="C153" t="s">
        <v>12</v>
      </c>
      <c r="D153">
        <v>9</v>
      </c>
      <c r="E153">
        <v>39.9</v>
      </c>
      <c r="F153">
        <v>0.2</v>
      </c>
      <c r="G153">
        <v>359.1</v>
      </c>
      <c r="H153" t="str">
        <f>_xlfn.XLOOKUP(Vendas__2[[#This Row],[Vendedor]],Vendedores!$A$4:$A$9,Vendedores!$B$4:$B$9,"",0)</f>
        <v>Amanda</v>
      </c>
      <c r="I153" t="s">
        <v>117</v>
      </c>
    </row>
    <row r="154" spans="1:9">
      <c r="A154" s="70">
        <v>44276</v>
      </c>
      <c r="B154" t="s">
        <v>43</v>
      </c>
      <c r="C154" t="s">
        <v>12</v>
      </c>
      <c r="D154">
        <v>9</v>
      </c>
      <c r="E154">
        <v>48.9</v>
      </c>
      <c r="F154">
        <v>0.1</v>
      </c>
      <c r="G154">
        <v>440.1</v>
      </c>
      <c r="H154" t="str">
        <f>_xlfn.XLOOKUP(Vendas__2[[#This Row],[Vendedor]],Vendedores!$A$4:$A$9,Vendedores!$B$4:$B$9,"",0)</f>
        <v>Clara</v>
      </c>
      <c r="I154" t="s">
        <v>116</v>
      </c>
    </row>
    <row r="155" spans="1:9">
      <c r="A155" s="70">
        <v>44280</v>
      </c>
      <c r="B155" t="s">
        <v>54</v>
      </c>
      <c r="C155" t="s">
        <v>12</v>
      </c>
      <c r="D155">
        <v>1</v>
      </c>
      <c r="E155">
        <v>249.9</v>
      </c>
      <c r="F155">
        <v>0.1</v>
      </c>
      <c r="G155">
        <v>249.9</v>
      </c>
      <c r="H155" t="str">
        <f>_xlfn.XLOOKUP(Vendas__2[[#This Row],[Vendedor]],Vendedores!$A$4:$A$9,Vendedores!$B$4:$B$9,"",0)</f>
        <v>Bruno</v>
      </c>
      <c r="I155" t="s">
        <v>118</v>
      </c>
    </row>
    <row r="156" spans="1:9">
      <c r="A156" s="70">
        <v>44288</v>
      </c>
      <c r="B156" t="s">
        <v>54</v>
      </c>
      <c r="C156" t="s">
        <v>12</v>
      </c>
      <c r="D156">
        <v>10</v>
      </c>
      <c r="E156">
        <v>249.9</v>
      </c>
      <c r="F156">
        <v>0.15</v>
      </c>
      <c r="G156">
        <v>2499</v>
      </c>
      <c r="H156" t="str">
        <f>_xlfn.XLOOKUP(Vendas__2[[#This Row],[Vendedor]],Vendedores!$A$4:$A$9,Vendedores!$B$4:$B$9,"",0)</f>
        <v>Sarah</v>
      </c>
      <c r="I156" t="s">
        <v>115</v>
      </c>
    </row>
    <row r="157" spans="1:9">
      <c r="A157" s="70">
        <v>44290</v>
      </c>
      <c r="B157" t="s">
        <v>48</v>
      </c>
      <c r="C157" t="s">
        <v>12</v>
      </c>
      <c r="D157">
        <v>4</v>
      </c>
      <c r="E157">
        <v>29.9</v>
      </c>
      <c r="F157">
        <v>0.15</v>
      </c>
      <c r="G157">
        <v>119.6</v>
      </c>
      <c r="H157" t="str">
        <f>_xlfn.XLOOKUP(Vendas__2[[#This Row],[Vendedor]],Vendedores!$A$4:$A$9,Vendedores!$B$4:$B$9,"",0)</f>
        <v>Bruno</v>
      </c>
      <c r="I157" t="s">
        <v>118</v>
      </c>
    </row>
    <row r="158" spans="1:9">
      <c r="A158" s="70">
        <v>44294</v>
      </c>
      <c r="B158" t="s">
        <v>87</v>
      </c>
      <c r="C158" t="s">
        <v>12</v>
      </c>
      <c r="D158">
        <v>1</v>
      </c>
      <c r="E158">
        <v>72.5</v>
      </c>
      <c r="F158">
        <v>0.1</v>
      </c>
      <c r="G158">
        <v>72.5</v>
      </c>
      <c r="H158" t="str">
        <f>_xlfn.XLOOKUP(Vendas__2[[#This Row],[Vendedor]],Vendedores!$A$4:$A$9,Vendedores!$B$4:$B$9,"",0)</f>
        <v>Sarah</v>
      </c>
      <c r="I158" t="s">
        <v>115</v>
      </c>
    </row>
    <row r="159" spans="1:9">
      <c r="A159" s="70">
        <v>44297</v>
      </c>
      <c r="B159" t="s">
        <v>70</v>
      </c>
      <c r="C159" t="s">
        <v>12</v>
      </c>
      <c r="D159">
        <v>10</v>
      </c>
      <c r="E159">
        <v>146</v>
      </c>
      <c r="F159">
        <v>0.15</v>
      </c>
      <c r="G159">
        <v>1460</v>
      </c>
      <c r="H159" t="str">
        <f>_xlfn.XLOOKUP(Vendas__2[[#This Row],[Vendedor]],Vendedores!$A$4:$A$9,Vendedores!$B$4:$B$9,"",0)</f>
        <v>Bruno</v>
      </c>
      <c r="I159" t="s">
        <v>118</v>
      </c>
    </row>
    <row r="160" spans="1:9">
      <c r="A160" s="70">
        <v>44298</v>
      </c>
      <c r="B160" t="s">
        <v>34</v>
      </c>
      <c r="C160" t="s">
        <v>12</v>
      </c>
      <c r="D160">
        <v>5</v>
      </c>
      <c r="E160">
        <v>70.900000000000006</v>
      </c>
      <c r="F160">
        <v>0.15</v>
      </c>
      <c r="G160">
        <v>354.5</v>
      </c>
      <c r="H160" t="str">
        <f>_xlfn.XLOOKUP(Vendas__2[[#This Row],[Vendedor]],Vendedores!$A$4:$A$9,Vendedores!$B$4:$B$9,"",0)</f>
        <v>Sarah</v>
      </c>
      <c r="I160" t="s">
        <v>115</v>
      </c>
    </row>
    <row r="161" spans="1:9">
      <c r="A161" s="70">
        <v>44299</v>
      </c>
      <c r="B161" t="s">
        <v>103</v>
      </c>
      <c r="C161" t="s">
        <v>14</v>
      </c>
      <c r="D161">
        <v>11</v>
      </c>
      <c r="E161">
        <v>89.9</v>
      </c>
      <c r="F161">
        <v>0.2</v>
      </c>
      <c r="G161">
        <v>988.9</v>
      </c>
      <c r="H161" t="str">
        <f>_xlfn.XLOOKUP(Vendas__2[[#This Row],[Vendedor]],Vendedores!$A$4:$A$9,Vendedores!$B$4:$B$9,"",0)</f>
        <v>João</v>
      </c>
      <c r="I161" t="s">
        <v>114</v>
      </c>
    </row>
    <row r="162" spans="1:9">
      <c r="A162" s="70">
        <v>44301</v>
      </c>
      <c r="B162" t="s">
        <v>38</v>
      </c>
      <c r="C162" t="s">
        <v>12</v>
      </c>
      <c r="D162">
        <v>6</v>
      </c>
      <c r="E162">
        <v>85.9</v>
      </c>
      <c r="F162">
        <v>0.15</v>
      </c>
      <c r="G162">
        <v>515.4</v>
      </c>
      <c r="H162" t="str">
        <f>_xlfn.XLOOKUP(Vendas__2[[#This Row],[Vendedor]],Vendedores!$A$4:$A$9,Vendedores!$B$4:$B$9,"",0)</f>
        <v>Bruno</v>
      </c>
      <c r="I162" t="s">
        <v>118</v>
      </c>
    </row>
    <row r="163" spans="1:9">
      <c r="A163" s="70">
        <v>44308</v>
      </c>
      <c r="B163" t="s">
        <v>68</v>
      </c>
      <c r="C163" t="s">
        <v>12</v>
      </c>
      <c r="D163">
        <v>2</v>
      </c>
      <c r="E163">
        <v>140</v>
      </c>
      <c r="F163">
        <v>0.1</v>
      </c>
      <c r="G163">
        <v>280</v>
      </c>
      <c r="H163" t="str">
        <f>_xlfn.XLOOKUP(Vendas__2[[#This Row],[Vendedor]],Vendedores!$A$4:$A$9,Vendedores!$B$4:$B$9,"",0)</f>
        <v>Clara</v>
      </c>
      <c r="I163" t="s">
        <v>116</v>
      </c>
    </row>
    <row r="164" spans="1:9">
      <c r="A164" s="70">
        <v>44309</v>
      </c>
      <c r="B164" t="s">
        <v>89</v>
      </c>
      <c r="C164" t="s">
        <v>12</v>
      </c>
      <c r="D164">
        <v>7</v>
      </c>
      <c r="E164">
        <v>72.5</v>
      </c>
      <c r="F164">
        <v>0.15</v>
      </c>
      <c r="G164">
        <v>507.5</v>
      </c>
      <c r="H164" t="str">
        <f>_xlfn.XLOOKUP(Vendas__2[[#This Row],[Vendedor]],Vendedores!$A$4:$A$9,Vendedores!$B$4:$B$9,"",0)</f>
        <v>Sarah</v>
      </c>
      <c r="I164" t="s">
        <v>115</v>
      </c>
    </row>
    <row r="165" spans="1:9">
      <c r="A165" s="70">
        <v>44312</v>
      </c>
      <c r="B165" t="s">
        <v>101</v>
      </c>
      <c r="C165" t="s">
        <v>12</v>
      </c>
      <c r="D165">
        <v>12</v>
      </c>
      <c r="E165">
        <v>49.9</v>
      </c>
      <c r="F165">
        <v>0.15</v>
      </c>
      <c r="G165">
        <v>598.79999999999995</v>
      </c>
      <c r="H165" t="str">
        <f>_xlfn.XLOOKUP(Vendas__2[[#This Row],[Vendedor]],Vendedores!$A$4:$A$9,Vendedores!$B$4:$B$9,"",0)</f>
        <v>Sarah</v>
      </c>
      <c r="I165" t="s">
        <v>115</v>
      </c>
    </row>
    <row r="166" spans="1:9">
      <c r="A166" s="70">
        <v>44313</v>
      </c>
      <c r="B166" t="s">
        <v>44</v>
      </c>
      <c r="C166" t="s">
        <v>12</v>
      </c>
      <c r="D166">
        <v>7</v>
      </c>
      <c r="E166">
        <v>39.9</v>
      </c>
      <c r="F166">
        <v>0.15</v>
      </c>
      <c r="G166">
        <v>279.3</v>
      </c>
      <c r="H166" t="str">
        <f>_xlfn.XLOOKUP(Vendas__2[[#This Row],[Vendedor]],Vendedores!$A$4:$A$9,Vendedores!$B$4:$B$9,"",0)</f>
        <v>Bruno</v>
      </c>
      <c r="I166" t="s">
        <v>118</v>
      </c>
    </row>
    <row r="167" spans="1:9">
      <c r="A167" s="70">
        <v>44324</v>
      </c>
      <c r="B167" t="s">
        <v>102</v>
      </c>
      <c r="C167" t="s">
        <v>12</v>
      </c>
      <c r="D167">
        <v>6</v>
      </c>
      <c r="E167">
        <v>49.9</v>
      </c>
      <c r="F167">
        <v>0.15</v>
      </c>
      <c r="G167">
        <v>299.39999999999998</v>
      </c>
      <c r="H167" t="str">
        <f>_xlfn.XLOOKUP(Vendas__2[[#This Row],[Vendedor]],Vendedores!$A$4:$A$9,Vendedores!$B$4:$B$9,"",0)</f>
        <v>Sarah</v>
      </c>
      <c r="I167" t="s">
        <v>115</v>
      </c>
    </row>
    <row r="168" spans="1:9">
      <c r="A168" s="70">
        <v>44325</v>
      </c>
      <c r="B168" t="s">
        <v>66</v>
      </c>
      <c r="C168" t="s">
        <v>12</v>
      </c>
      <c r="D168">
        <v>11</v>
      </c>
      <c r="E168">
        <v>91.4</v>
      </c>
      <c r="F168">
        <v>0.2</v>
      </c>
      <c r="G168">
        <v>1005.4</v>
      </c>
      <c r="H168" t="str">
        <f>_xlfn.XLOOKUP(Vendas__2[[#This Row],[Vendedor]],Vendedores!$A$4:$A$9,Vendedores!$B$4:$B$9,"",0)</f>
        <v>Amanda</v>
      </c>
      <c r="I168" t="s">
        <v>117</v>
      </c>
    </row>
    <row r="169" spans="1:9">
      <c r="A169" s="70">
        <v>44326</v>
      </c>
      <c r="B169" t="s">
        <v>36</v>
      </c>
      <c r="C169" t="s">
        <v>13</v>
      </c>
      <c r="D169">
        <v>11</v>
      </c>
      <c r="E169">
        <v>259.89999999999998</v>
      </c>
      <c r="F169">
        <v>0.2</v>
      </c>
      <c r="G169">
        <v>2858.9</v>
      </c>
      <c r="H169" t="str">
        <f>_xlfn.XLOOKUP(Vendas__2[[#This Row],[Vendedor]],Vendedores!$A$4:$A$9,Vendedores!$B$4:$B$9,"",0)</f>
        <v>Amanda</v>
      </c>
      <c r="I169" t="s">
        <v>117</v>
      </c>
    </row>
    <row r="170" spans="1:9">
      <c r="A170" s="70">
        <v>44327</v>
      </c>
      <c r="B170" t="s">
        <v>70</v>
      </c>
      <c r="C170" t="s">
        <v>12</v>
      </c>
      <c r="D170">
        <v>3</v>
      </c>
      <c r="E170">
        <v>146</v>
      </c>
      <c r="F170">
        <v>0.15</v>
      </c>
      <c r="G170">
        <v>438</v>
      </c>
      <c r="H170" t="str">
        <f>_xlfn.XLOOKUP(Vendas__2[[#This Row],[Vendedor]],Vendedores!$A$4:$A$9,Vendedores!$B$4:$B$9,"",0)</f>
        <v>Bruno</v>
      </c>
      <c r="I170" t="s">
        <v>118</v>
      </c>
    </row>
    <row r="171" spans="1:9">
      <c r="A171" s="70">
        <v>44328</v>
      </c>
      <c r="B171" t="s">
        <v>95</v>
      </c>
      <c r="C171" t="s">
        <v>12</v>
      </c>
      <c r="D171">
        <v>8</v>
      </c>
      <c r="E171">
        <v>32.9</v>
      </c>
      <c r="F171">
        <v>0.15</v>
      </c>
      <c r="G171">
        <v>263.2</v>
      </c>
      <c r="H171" t="str">
        <f>_xlfn.XLOOKUP(Vendas__2[[#This Row],[Vendedor]],Vendedores!$A$4:$A$9,Vendedores!$B$4:$B$9,"",0)</f>
        <v>Bruno</v>
      </c>
      <c r="I171" t="s">
        <v>118</v>
      </c>
    </row>
    <row r="172" spans="1:9">
      <c r="A172" s="70">
        <v>44331</v>
      </c>
      <c r="B172" t="s">
        <v>56</v>
      </c>
      <c r="C172" t="s">
        <v>12</v>
      </c>
      <c r="D172">
        <v>11</v>
      </c>
      <c r="E172">
        <v>299.89999999999998</v>
      </c>
      <c r="F172">
        <v>0.15</v>
      </c>
      <c r="G172">
        <v>3298.9</v>
      </c>
      <c r="H172" t="str">
        <f>_xlfn.XLOOKUP(Vendas__2[[#This Row],[Vendedor]],Vendedores!$A$4:$A$9,Vendedores!$B$4:$B$9,"",0)</f>
        <v>Sarah</v>
      </c>
      <c r="I172" t="s">
        <v>115</v>
      </c>
    </row>
    <row r="173" spans="1:9">
      <c r="A173" s="70">
        <v>44334</v>
      </c>
      <c r="B173" t="s">
        <v>62</v>
      </c>
      <c r="C173" t="s">
        <v>14</v>
      </c>
      <c r="D173">
        <v>8</v>
      </c>
      <c r="E173">
        <v>245</v>
      </c>
      <c r="F173">
        <v>0.2</v>
      </c>
      <c r="G173">
        <v>1960</v>
      </c>
      <c r="H173" t="str">
        <f>_xlfn.XLOOKUP(Vendas__2[[#This Row],[Vendedor]],Vendedores!$A$4:$A$9,Vendedores!$B$4:$B$9,"",0)</f>
        <v>Amanda</v>
      </c>
      <c r="I173" t="s">
        <v>117</v>
      </c>
    </row>
    <row r="174" spans="1:9">
      <c r="A174" s="70">
        <v>44354</v>
      </c>
      <c r="B174" t="s">
        <v>63</v>
      </c>
      <c r="C174" t="s">
        <v>14</v>
      </c>
      <c r="D174">
        <v>6</v>
      </c>
      <c r="E174">
        <v>250</v>
      </c>
      <c r="F174">
        <v>0.15</v>
      </c>
      <c r="G174">
        <v>1500</v>
      </c>
      <c r="H174" t="str">
        <f>_xlfn.XLOOKUP(Vendas__2[[#This Row],[Vendedor]],Vendedores!$A$4:$A$9,Vendedores!$B$4:$B$9,"",0)</f>
        <v>Sarah</v>
      </c>
      <c r="I174" t="s">
        <v>115</v>
      </c>
    </row>
    <row r="175" spans="1:9">
      <c r="A175" s="70">
        <v>44354</v>
      </c>
      <c r="B175" t="s">
        <v>42</v>
      </c>
      <c r="C175" t="s">
        <v>12</v>
      </c>
      <c r="D175">
        <v>2</v>
      </c>
      <c r="E175">
        <v>46.9</v>
      </c>
      <c r="F175">
        <v>0.15</v>
      </c>
      <c r="G175">
        <v>93.8</v>
      </c>
      <c r="H175" t="str">
        <f>_xlfn.XLOOKUP(Vendas__2[[#This Row],[Vendedor]],Vendedores!$A$4:$A$9,Vendedores!$B$4:$B$9,"",0)</f>
        <v>João</v>
      </c>
      <c r="I175" t="s">
        <v>114</v>
      </c>
    </row>
    <row r="176" spans="1:9">
      <c r="A176" s="70">
        <v>44356</v>
      </c>
      <c r="B176" t="s">
        <v>68</v>
      </c>
      <c r="C176" t="s">
        <v>12</v>
      </c>
      <c r="D176">
        <v>1</v>
      </c>
      <c r="E176">
        <v>140</v>
      </c>
      <c r="F176">
        <v>0.1</v>
      </c>
      <c r="G176">
        <v>140</v>
      </c>
      <c r="H176" t="str">
        <f>_xlfn.XLOOKUP(Vendas__2[[#This Row],[Vendedor]],Vendedores!$A$4:$A$9,Vendedores!$B$4:$B$9,"",0)</f>
        <v>Amanda</v>
      </c>
      <c r="I176" t="s">
        <v>117</v>
      </c>
    </row>
    <row r="177" spans="1:9">
      <c r="A177" s="70">
        <v>44356</v>
      </c>
      <c r="B177" t="s">
        <v>102</v>
      </c>
      <c r="C177" t="s">
        <v>12</v>
      </c>
      <c r="D177">
        <v>1</v>
      </c>
      <c r="E177">
        <v>49.9</v>
      </c>
      <c r="F177">
        <v>0.1</v>
      </c>
      <c r="G177">
        <v>49.9</v>
      </c>
      <c r="H177" t="str">
        <f>_xlfn.XLOOKUP(Vendas__2[[#This Row],[Vendedor]],Vendedores!$A$4:$A$9,Vendedores!$B$4:$B$9,"",0)</f>
        <v>Amanda</v>
      </c>
      <c r="I177" t="s">
        <v>117</v>
      </c>
    </row>
    <row r="178" spans="1:9">
      <c r="A178" s="70">
        <v>44358</v>
      </c>
      <c r="B178" t="s">
        <v>104</v>
      </c>
      <c r="C178" t="s">
        <v>14</v>
      </c>
      <c r="D178">
        <v>5</v>
      </c>
      <c r="E178">
        <v>89.9</v>
      </c>
      <c r="F178">
        <v>0.15</v>
      </c>
      <c r="G178">
        <v>449.5</v>
      </c>
      <c r="H178" t="str">
        <f>_xlfn.XLOOKUP(Vendas__2[[#This Row],[Vendedor]],Vendedores!$A$4:$A$9,Vendedores!$B$4:$B$9,"",0)</f>
        <v>Sarah</v>
      </c>
      <c r="I178" t="s">
        <v>115</v>
      </c>
    </row>
    <row r="179" spans="1:9">
      <c r="A179" s="70">
        <v>44360</v>
      </c>
      <c r="B179" t="s">
        <v>66</v>
      </c>
      <c r="C179" t="s">
        <v>12</v>
      </c>
      <c r="D179">
        <v>11</v>
      </c>
      <c r="E179">
        <v>91.4</v>
      </c>
      <c r="F179">
        <v>0.15</v>
      </c>
      <c r="G179">
        <v>1005.4</v>
      </c>
      <c r="H179" t="str">
        <f>_xlfn.XLOOKUP(Vendas__2[[#This Row],[Vendedor]],Vendedores!$A$4:$A$9,Vendedores!$B$4:$B$9,"",0)</f>
        <v>Sarah</v>
      </c>
      <c r="I179" t="s">
        <v>115</v>
      </c>
    </row>
    <row r="180" spans="1:9">
      <c r="A180" s="70">
        <v>44363</v>
      </c>
      <c r="B180" t="s">
        <v>48</v>
      </c>
      <c r="C180" t="s">
        <v>12</v>
      </c>
      <c r="D180">
        <v>11</v>
      </c>
      <c r="E180">
        <v>29.9</v>
      </c>
      <c r="F180">
        <v>0.2</v>
      </c>
      <c r="G180">
        <v>328.9</v>
      </c>
      <c r="H180" t="str">
        <f>_xlfn.XLOOKUP(Vendas__2[[#This Row],[Vendedor]],Vendedores!$A$4:$A$9,Vendedores!$B$4:$B$9,"",0)</f>
        <v>Amanda</v>
      </c>
      <c r="I180" t="s">
        <v>117</v>
      </c>
    </row>
    <row r="181" spans="1:9">
      <c r="A181" s="70">
        <v>44363</v>
      </c>
      <c r="B181" t="s">
        <v>99</v>
      </c>
      <c r="C181" t="s">
        <v>12</v>
      </c>
      <c r="D181">
        <v>12</v>
      </c>
      <c r="E181">
        <v>49.9</v>
      </c>
      <c r="F181">
        <v>0.15</v>
      </c>
      <c r="G181">
        <v>598.79999999999995</v>
      </c>
      <c r="H181" t="str">
        <f>_xlfn.XLOOKUP(Vendas__2[[#This Row],[Vendedor]],Vendedores!$A$4:$A$9,Vendedores!$B$4:$B$9,"",0)</f>
        <v>Sarah</v>
      </c>
      <c r="I181" t="s">
        <v>115</v>
      </c>
    </row>
    <row r="182" spans="1:9">
      <c r="A182" s="70">
        <v>44364</v>
      </c>
      <c r="B182" t="s">
        <v>57</v>
      </c>
      <c r="C182" t="s">
        <v>13</v>
      </c>
      <c r="D182">
        <v>9</v>
      </c>
      <c r="E182">
        <v>349.9</v>
      </c>
      <c r="F182">
        <v>0.2</v>
      </c>
      <c r="G182">
        <v>3149.1</v>
      </c>
      <c r="H182" t="str">
        <f>_xlfn.XLOOKUP(Vendas__2[[#This Row],[Vendedor]],Vendedores!$A$4:$A$9,Vendedores!$B$4:$B$9,"",0)</f>
        <v>João</v>
      </c>
      <c r="I182" t="s">
        <v>114</v>
      </c>
    </row>
    <row r="183" spans="1:9">
      <c r="A183" s="70">
        <v>44367</v>
      </c>
      <c r="B183" t="s">
        <v>101</v>
      </c>
      <c r="C183" t="s">
        <v>12</v>
      </c>
      <c r="D183">
        <v>4</v>
      </c>
      <c r="E183">
        <v>49.9</v>
      </c>
      <c r="F183">
        <v>0.15</v>
      </c>
      <c r="G183">
        <v>199.6</v>
      </c>
      <c r="H183" t="str">
        <f>_xlfn.XLOOKUP(Vendas__2[[#This Row],[Vendedor]],Vendedores!$A$4:$A$9,Vendedores!$B$4:$B$9,"",0)</f>
        <v>Sarah</v>
      </c>
      <c r="I183" t="s">
        <v>115</v>
      </c>
    </row>
    <row r="184" spans="1:9">
      <c r="A184" s="70">
        <v>44375</v>
      </c>
      <c r="B184" t="s">
        <v>111</v>
      </c>
      <c r="C184" t="s">
        <v>12</v>
      </c>
      <c r="D184">
        <v>6</v>
      </c>
      <c r="E184">
        <v>180</v>
      </c>
      <c r="F184">
        <v>0.2</v>
      </c>
      <c r="G184">
        <v>1080</v>
      </c>
      <c r="H184" t="str">
        <f>_xlfn.XLOOKUP(Vendas__2[[#This Row],[Vendedor]],Vendedores!$A$4:$A$9,Vendedores!$B$4:$B$9,"",0)</f>
        <v>João</v>
      </c>
      <c r="I184" t="s">
        <v>114</v>
      </c>
    </row>
    <row r="185" spans="1:9">
      <c r="A185" s="70">
        <v>44375</v>
      </c>
      <c r="B185" t="s">
        <v>48</v>
      </c>
      <c r="C185" t="s">
        <v>12</v>
      </c>
      <c r="D185">
        <v>12</v>
      </c>
      <c r="E185">
        <v>29.9</v>
      </c>
      <c r="F185">
        <v>0.2</v>
      </c>
      <c r="G185">
        <v>358.8</v>
      </c>
      <c r="H185" t="str">
        <f>_xlfn.XLOOKUP(Vendas__2[[#This Row],[Vendedor]],Vendedores!$A$4:$A$9,Vendedores!$B$4:$B$9,"",0)</f>
        <v>João</v>
      </c>
      <c r="I185" t="s">
        <v>114</v>
      </c>
    </row>
    <row r="186" spans="1:9">
      <c r="A186" s="70">
        <v>44376</v>
      </c>
      <c r="B186" t="s">
        <v>37</v>
      </c>
      <c r="C186" t="s">
        <v>13</v>
      </c>
      <c r="D186">
        <v>9</v>
      </c>
      <c r="E186">
        <v>39.9</v>
      </c>
      <c r="F186">
        <v>0.2</v>
      </c>
      <c r="G186">
        <v>359.1</v>
      </c>
      <c r="H186" t="str">
        <f>_xlfn.XLOOKUP(Vendas__2[[#This Row],[Vendedor]],Vendedores!$A$4:$A$9,Vendedores!$B$4:$B$9,"",0)</f>
        <v>Amanda</v>
      </c>
      <c r="I186" t="s">
        <v>117</v>
      </c>
    </row>
    <row r="187" spans="1:9">
      <c r="A187" s="70">
        <v>44377</v>
      </c>
      <c r="B187" t="s">
        <v>70</v>
      </c>
      <c r="C187" t="s">
        <v>12</v>
      </c>
      <c r="D187">
        <v>1</v>
      </c>
      <c r="E187">
        <v>146</v>
      </c>
      <c r="F187">
        <v>0.1</v>
      </c>
      <c r="G187">
        <v>146</v>
      </c>
      <c r="H187" t="str">
        <f>_xlfn.XLOOKUP(Vendas__2[[#This Row],[Vendedor]],Vendedores!$A$4:$A$9,Vendedores!$B$4:$B$9,"",0)</f>
        <v>Bruno</v>
      </c>
      <c r="I187" t="s">
        <v>118</v>
      </c>
    </row>
    <row r="188" spans="1:9">
      <c r="A188" s="70">
        <v>44382</v>
      </c>
      <c r="B188" t="s">
        <v>93</v>
      </c>
      <c r="C188" t="s">
        <v>12</v>
      </c>
      <c r="D188">
        <v>1</v>
      </c>
      <c r="E188">
        <v>289.89999999999998</v>
      </c>
      <c r="F188">
        <v>0.1</v>
      </c>
      <c r="G188">
        <v>289.89999999999998</v>
      </c>
      <c r="H188" t="str">
        <f>_xlfn.XLOOKUP(Vendas__2[[#This Row],[Vendedor]],Vendedores!$A$4:$A$9,Vendedores!$B$4:$B$9,"",0)</f>
        <v>João</v>
      </c>
      <c r="I188" t="s">
        <v>114</v>
      </c>
    </row>
    <row r="189" spans="1:9">
      <c r="A189" s="70">
        <v>44383</v>
      </c>
      <c r="B189" t="s">
        <v>37</v>
      </c>
      <c r="C189" t="s">
        <v>13</v>
      </c>
      <c r="D189">
        <v>6</v>
      </c>
      <c r="E189">
        <v>39.9</v>
      </c>
      <c r="F189">
        <v>0.15</v>
      </c>
      <c r="G189">
        <v>239.4</v>
      </c>
      <c r="H189" t="str">
        <f>_xlfn.XLOOKUP(Vendas__2[[#This Row],[Vendedor]],Vendedores!$A$4:$A$9,Vendedores!$B$4:$B$9,"",0)</f>
        <v>Sarah</v>
      </c>
      <c r="I189" t="s">
        <v>115</v>
      </c>
    </row>
    <row r="190" spans="1:9">
      <c r="A190" s="70">
        <v>44384</v>
      </c>
      <c r="B190" t="s">
        <v>66</v>
      </c>
      <c r="C190" t="s">
        <v>12</v>
      </c>
      <c r="D190">
        <v>9</v>
      </c>
      <c r="E190">
        <v>91.4</v>
      </c>
      <c r="F190">
        <v>0.1</v>
      </c>
      <c r="G190">
        <v>822.6</v>
      </c>
      <c r="H190" t="str">
        <f>_xlfn.XLOOKUP(Vendas__2[[#This Row],[Vendedor]],Vendedores!$A$4:$A$9,Vendedores!$B$4:$B$9,"",0)</f>
        <v>Clara</v>
      </c>
      <c r="I190" t="s">
        <v>116</v>
      </c>
    </row>
    <row r="191" spans="1:9">
      <c r="A191" s="70">
        <v>44389</v>
      </c>
      <c r="B191" t="s">
        <v>87</v>
      </c>
      <c r="C191" t="s">
        <v>12</v>
      </c>
      <c r="D191">
        <v>8</v>
      </c>
      <c r="E191">
        <v>72.5</v>
      </c>
      <c r="F191">
        <v>0.15</v>
      </c>
      <c r="G191">
        <v>580</v>
      </c>
      <c r="H191" t="str">
        <f>_xlfn.XLOOKUP(Vendas__2[[#This Row],[Vendedor]],Vendedores!$A$4:$A$9,Vendedores!$B$4:$B$9,"",0)</f>
        <v>Bruno</v>
      </c>
      <c r="I191" t="s">
        <v>118</v>
      </c>
    </row>
    <row r="192" spans="1:9">
      <c r="A192" s="70">
        <v>44390</v>
      </c>
      <c r="B192" t="s">
        <v>70</v>
      </c>
      <c r="C192" t="s">
        <v>12</v>
      </c>
      <c r="D192">
        <v>5</v>
      </c>
      <c r="E192">
        <v>146</v>
      </c>
      <c r="F192">
        <v>0.15</v>
      </c>
      <c r="G192">
        <v>730</v>
      </c>
      <c r="H192" t="str">
        <f>_xlfn.XLOOKUP(Vendas__2[[#This Row],[Vendedor]],Vendedores!$A$4:$A$9,Vendedores!$B$4:$B$9,"",0)</f>
        <v>Bruno</v>
      </c>
      <c r="I192" t="s">
        <v>118</v>
      </c>
    </row>
    <row r="193" spans="1:9">
      <c r="A193" s="70">
        <v>44394</v>
      </c>
      <c r="B193" t="s">
        <v>63</v>
      </c>
      <c r="C193" t="s">
        <v>14</v>
      </c>
      <c r="D193">
        <v>3</v>
      </c>
      <c r="E193">
        <v>250</v>
      </c>
      <c r="F193">
        <v>0.15</v>
      </c>
      <c r="G193">
        <v>750</v>
      </c>
      <c r="H193" t="str">
        <f>_xlfn.XLOOKUP(Vendas__2[[#This Row],[Vendedor]],Vendedores!$A$4:$A$9,Vendedores!$B$4:$B$9,"",0)</f>
        <v>Sarah</v>
      </c>
      <c r="I193" t="s">
        <v>115</v>
      </c>
    </row>
    <row r="194" spans="1:9">
      <c r="A194" s="70">
        <v>44400</v>
      </c>
      <c r="B194" t="s">
        <v>55</v>
      </c>
      <c r="C194" t="s">
        <v>12</v>
      </c>
      <c r="D194">
        <v>3</v>
      </c>
      <c r="E194">
        <v>259.89999999999998</v>
      </c>
      <c r="F194">
        <v>0.1</v>
      </c>
      <c r="G194">
        <v>779.7</v>
      </c>
      <c r="H194" t="str">
        <f>_xlfn.XLOOKUP(Vendas__2[[#This Row],[Vendedor]],Vendedores!$A$4:$A$9,Vendedores!$B$4:$B$9,"",0)</f>
        <v>Clara</v>
      </c>
      <c r="I194" t="s">
        <v>116</v>
      </c>
    </row>
    <row r="195" spans="1:9">
      <c r="A195" s="70">
        <v>44403</v>
      </c>
      <c r="B195" t="s">
        <v>97</v>
      </c>
      <c r="C195" t="s">
        <v>12</v>
      </c>
      <c r="D195">
        <v>8</v>
      </c>
      <c r="E195">
        <v>32.9</v>
      </c>
      <c r="F195">
        <v>0.15</v>
      </c>
      <c r="G195">
        <v>263.2</v>
      </c>
      <c r="H195" t="str">
        <f>_xlfn.XLOOKUP(Vendas__2[[#This Row],[Vendedor]],Vendedores!$A$4:$A$9,Vendedores!$B$4:$B$9,"",0)</f>
        <v>Bruno</v>
      </c>
      <c r="I195" t="s">
        <v>118</v>
      </c>
    </row>
    <row r="196" spans="1:9">
      <c r="A196" s="70">
        <v>44405</v>
      </c>
      <c r="B196" t="s">
        <v>103</v>
      </c>
      <c r="C196" t="s">
        <v>14</v>
      </c>
      <c r="D196">
        <v>7</v>
      </c>
      <c r="E196">
        <v>89.9</v>
      </c>
      <c r="F196">
        <v>0.2</v>
      </c>
      <c r="G196">
        <v>629.29999999999995</v>
      </c>
      <c r="H196" t="str">
        <f>_xlfn.XLOOKUP(Vendas__2[[#This Row],[Vendedor]],Vendedores!$A$4:$A$9,Vendedores!$B$4:$B$9,"",0)</f>
        <v>João</v>
      </c>
      <c r="I196" t="s">
        <v>114</v>
      </c>
    </row>
    <row r="197" spans="1:9">
      <c r="A197" s="70">
        <v>44406</v>
      </c>
      <c r="B197" t="s">
        <v>63</v>
      </c>
      <c r="C197" t="s">
        <v>14</v>
      </c>
      <c r="D197">
        <v>8</v>
      </c>
      <c r="E197">
        <v>250</v>
      </c>
      <c r="F197">
        <v>0.1</v>
      </c>
      <c r="G197">
        <v>2000</v>
      </c>
      <c r="H197" t="str">
        <f>_xlfn.XLOOKUP(Vendas__2[[#This Row],[Vendedor]],Vendedores!$A$4:$A$9,Vendedores!$B$4:$B$9,"",0)</f>
        <v>Clara</v>
      </c>
      <c r="I197" t="s">
        <v>116</v>
      </c>
    </row>
    <row r="198" spans="1:9">
      <c r="A198" s="70">
        <v>44407</v>
      </c>
      <c r="B198" t="s">
        <v>101</v>
      </c>
      <c r="C198" t="s">
        <v>12</v>
      </c>
      <c r="D198">
        <v>9</v>
      </c>
      <c r="E198">
        <v>49.9</v>
      </c>
      <c r="F198">
        <v>0.15</v>
      </c>
      <c r="G198">
        <v>449.1</v>
      </c>
      <c r="H198" t="str">
        <f>_xlfn.XLOOKUP(Vendas__2[[#This Row],[Vendedor]],Vendedores!$A$4:$A$9,Vendedores!$B$4:$B$9,"",0)</f>
        <v>Sarah</v>
      </c>
      <c r="I198" t="s">
        <v>115</v>
      </c>
    </row>
    <row r="199" spans="1:9">
      <c r="A199" s="70">
        <v>44413</v>
      </c>
      <c r="B199" t="s">
        <v>66</v>
      </c>
      <c r="C199" t="s">
        <v>12</v>
      </c>
      <c r="D199">
        <v>3</v>
      </c>
      <c r="E199">
        <v>91.4</v>
      </c>
      <c r="F199">
        <v>0.1</v>
      </c>
      <c r="G199">
        <v>274.2</v>
      </c>
      <c r="H199" t="str">
        <f>_xlfn.XLOOKUP(Vendas__2[[#This Row],[Vendedor]],Vendedores!$A$4:$A$9,Vendedores!$B$4:$B$9,"",0)</f>
        <v>Clara</v>
      </c>
      <c r="I199" t="s">
        <v>116</v>
      </c>
    </row>
    <row r="200" spans="1:9">
      <c r="A200" s="70">
        <v>44414</v>
      </c>
      <c r="B200" t="s">
        <v>93</v>
      </c>
      <c r="C200" t="s">
        <v>12</v>
      </c>
      <c r="D200">
        <v>12</v>
      </c>
      <c r="E200">
        <v>289.89999999999998</v>
      </c>
      <c r="F200">
        <v>0.15</v>
      </c>
      <c r="G200">
        <v>3478.8</v>
      </c>
      <c r="H200" t="str">
        <f>_xlfn.XLOOKUP(Vendas__2[[#This Row],[Vendedor]],Vendedores!$A$4:$A$9,Vendedores!$B$4:$B$9,"",0)</f>
        <v>Sarah</v>
      </c>
      <c r="I200" t="s">
        <v>115</v>
      </c>
    </row>
    <row r="201" spans="1:9">
      <c r="A201" s="70">
        <v>44415</v>
      </c>
      <c r="B201" t="s">
        <v>59</v>
      </c>
      <c r="C201" t="s">
        <v>14</v>
      </c>
      <c r="D201">
        <v>1</v>
      </c>
      <c r="E201">
        <v>249.9</v>
      </c>
      <c r="F201">
        <v>0</v>
      </c>
      <c r="G201">
        <v>249.9</v>
      </c>
      <c r="H201" t="str">
        <f>_xlfn.XLOOKUP(Vendas__2[[#This Row],[Vendedor]],Vendedores!$A$4:$A$9,Vendedores!$B$4:$B$9,"",0)</f>
        <v>Bruno</v>
      </c>
      <c r="I201" t="s">
        <v>118</v>
      </c>
    </row>
    <row r="202" spans="1:9">
      <c r="A202" s="70">
        <v>44416</v>
      </c>
      <c r="B202" t="s">
        <v>110</v>
      </c>
      <c r="C202" t="s">
        <v>12</v>
      </c>
      <c r="D202">
        <v>3</v>
      </c>
      <c r="E202">
        <v>180</v>
      </c>
      <c r="F202">
        <v>0.15</v>
      </c>
      <c r="G202">
        <v>540</v>
      </c>
      <c r="H202" t="str">
        <f>_xlfn.XLOOKUP(Vendas__2[[#This Row],[Vendedor]],Vendedores!$A$4:$A$9,Vendedores!$B$4:$B$9,"",0)</f>
        <v>Bruno</v>
      </c>
      <c r="I202" t="s">
        <v>118</v>
      </c>
    </row>
    <row r="203" spans="1:9">
      <c r="A203" s="70">
        <v>44417</v>
      </c>
      <c r="B203" t="s">
        <v>44</v>
      </c>
      <c r="C203" t="s">
        <v>12</v>
      </c>
      <c r="D203">
        <v>7</v>
      </c>
      <c r="E203">
        <v>39.9</v>
      </c>
      <c r="F203">
        <v>0.2</v>
      </c>
      <c r="G203">
        <v>279.3</v>
      </c>
      <c r="H203" t="str">
        <f>_xlfn.XLOOKUP(Vendas__2[[#This Row],[Vendedor]],Vendedores!$A$4:$A$9,Vendedores!$B$4:$B$9,"",0)</f>
        <v>João</v>
      </c>
      <c r="I203" t="s">
        <v>114</v>
      </c>
    </row>
    <row r="204" spans="1:9">
      <c r="A204" s="70">
        <v>44418</v>
      </c>
      <c r="B204" t="s">
        <v>93</v>
      </c>
      <c r="C204" t="s">
        <v>12</v>
      </c>
      <c r="D204">
        <v>7</v>
      </c>
      <c r="E204">
        <v>289.89999999999998</v>
      </c>
      <c r="F204">
        <v>0.1</v>
      </c>
      <c r="G204">
        <v>2029.3</v>
      </c>
      <c r="H204" t="str">
        <f>_xlfn.XLOOKUP(Vendas__2[[#This Row],[Vendedor]],Vendedores!$A$4:$A$9,Vendedores!$B$4:$B$9,"",0)</f>
        <v>Clara</v>
      </c>
      <c r="I204" t="s">
        <v>116</v>
      </c>
    </row>
    <row r="205" spans="1:9">
      <c r="A205" s="70">
        <v>44419</v>
      </c>
      <c r="B205" t="s">
        <v>66</v>
      </c>
      <c r="C205" t="s">
        <v>12</v>
      </c>
      <c r="D205">
        <v>11</v>
      </c>
      <c r="E205">
        <v>91.4</v>
      </c>
      <c r="F205">
        <v>0.15</v>
      </c>
      <c r="G205">
        <v>1005.4</v>
      </c>
      <c r="H205" t="str">
        <f>_xlfn.XLOOKUP(Vendas__2[[#This Row],[Vendedor]],Vendedores!$A$4:$A$9,Vendedores!$B$4:$B$9,"",0)</f>
        <v>Sarah</v>
      </c>
      <c r="I205" t="s">
        <v>115</v>
      </c>
    </row>
    <row r="206" spans="1:9">
      <c r="A206" s="70">
        <v>44420</v>
      </c>
      <c r="B206" t="s">
        <v>104</v>
      </c>
      <c r="C206" t="s">
        <v>14</v>
      </c>
      <c r="D206">
        <v>6</v>
      </c>
      <c r="E206">
        <v>89.9</v>
      </c>
      <c r="F206">
        <v>0.15</v>
      </c>
      <c r="G206">
        <v>539.4</v>
      </c>
      <c r="H206" t="str">
        <f>_xlfn.XLOOKUP(Vendas__2[[#This Row],[Vendedor]],Vendedores!$A$4:$A$9,Vendedores!$B$4:$B$9,"",0)</f>
        <v>Bruno</v>
      </c>
      <c r="I206" t="s">
        <v>118</v>
      </c>
    </row>
    <row r="207" spans="1:9">
      <c r="A207" s="70">
        <v>44421</v>
      </c>
      <c r="B207" t="s">
        <v>95</v>
      </c>
      <c r="C207" t="s">
        <v>12</v>
      </c>
      <c r="D207">
        <v>12</v>
      </c>
      <c r="E207">
        <v>32.9</v>
      </c>
      <c r="F207">
        <v>0.2</v>
      </c>
      <c r="G207">
        <v>394.8</v>
      </c>
      <c r="H207" t="str">
        <f>_xlfn.XLOOKUP(Vendas__2[[#This Row],[Vendedor]],Vendedores!$A$4:$A$9,Vendedores!$B$4:$B$9,"",0)</f>
        <v>João</v>
      </c>
      <c r="I207" t="s">
        <v>114</v>
      </c>
    </row>
    <row r="208" spans="1:9">
      <c r="A208" s="70">
        <v>44422</v>
      </c>
      <c r="B208" t="s">
        <v>62</v>
      </c>
      <c r="C208" t="s">
        <v>14</v>
      </c>
      <c r="D208">
        <v>12</v>
      </c>
      <c r="E208">
        <v>245</v>
      </c>
      <c r="F208">
        <v>0.15</v>
      </c>
      <c r="G208">
        <v>2940</v>
      </c>
      <c r="H208" t="str">
        <f>_xlfn.XLOOKUP(Vendas__2[[#This Row],[Vendedor]],Vendedores!$A$4:$A$9,Vendedores!$B$4:$B$9,"",0)</f>
        <v>Bruno</v>
      </c>
      <c r="I208" t="s">
        <v>118</v>
      </c>
    </row>
    <row r="209" spans="1:9">
      <c r="A209" s="70">
        <v>44423</v>
      </c>
      <c r="B209" t="s">
        <v>39</v>
      </c>
      <c r="C209" t="s">
        <v>12</v>
      </c>
      <c r="D209">
        <v>3</v>
      </c>
      <c r="E209">
        <v>89.9</v>
      </c>
      <c r="F209">
        <v>0.1</v>
      </c>
      <c r="G209">
        <v>269.7</v>
      </c>
      <c r="H209" t="str">
        <f>_xlfn.XLOOKUP(Vendas__2[[#This Row],[Vendedor]],Vendedores!$A$4:$A$9,Vendedores!$B$4:$B$9,"",0)</f>
        <v>Clara</v>
      </c>
      <c r="I209" t="s">
        <v>116</v>
      </c>
    </row>
    <row r="210" spans="1:9">
      <c r="A210" s="70">
        <v>44444</v>
      </c>
      <c r="B210" t="s">
        <v>46</v>
      </c>
      <c r="C210" t="s">
        <v>12</v>
      </c>
      <c r="D210">
        <v>11</v>
      </c>
      <c r="E210">
        <v>42.5</v>
      </c>
      <c r="F210">
        <v>0.15</v>
      </c>
      <c r="G210">
        <v>467.5</v>
      </c>
      <c r="H210" t="str">
        <f>_xlfn.XLOOKUP(Vendas__2[[#This Row],[Vendedor]],Vendedores!$A$4:$A$9,Vendedores!$B$4:$B$9,"",0)</f>
        <v>Bruno</v>
      </c>
      <c r="I210" t="s">
        <v>118</v>
      </c>
    </row>
    <row r="211" spans="1:9">
      <c r="A211" s="70">
        <v>44445</v>
      </c>
      <c r="B211" t="s">
        <v>90</v>
      </c>
      <c r="C211" t="s">
        <v>12</v>
      </c>
      <c r="D211">
        <v>11</v>
      </c>
      <c r="E211">
        <v>72.5</v>
      </c>
      <c r="F211">
        <v>0.15</v>
      </c>
      <c r="G211">
        <v>797.5</v>
      </c>
      <c r="H211" t="str">
        <f>_xlfn.XLOOKUP(Vendas__2[[#This Row],[Vendedor]],Vendedores!$A$4:$A$9,Vendedores!$B$4:$B$9,"",0)</f>
        <v>Bruno</v>
      </c>
      <c r="I211" t="s">
        <v>118</v>
      </c>
    </row>
    <row r="212" spans="1:9">
      <c r="A212" s="70">
        <v>44446</v>
      </c>
      <c r="B212" t="s">
        <v>67</v>
      </c>
      <c r="C212" t="s">
        <v>12</v>
      </c>
      <c r="D212">
        <v>4</v>
      </c>
      <c r="E212">
        <v>93.5</v>
      </c>
      <c r="F212">
        <v>0.15</v>
      </c>
      <c r="G212">
        <v>374</v>
      </c>
      <c r="H212" t="str">
        <f>_xlfn.XLOOKUP(Vendas__2[[#This Row],[Vendedor]],Vendedores!$A$4:$A$9,Vendedores!$B$4:$B$9,"",0)</f>
        <v>Sarah</v>
      </c>
      <c r="I212" t="s">
        <v>115</v>
      </c>
    </row>
    <row r="213" spans="1:9">
      <c r="A213" s="70">
        <v>44447</v>
      </c>
      <c r="B213" t="s">
        <v>63</v>
      </c>
      <c r="C213" t="s">
        <v>14</v>
      </c>
      <c r="D213">
        <v>9</v>
      </c>
      <c r="E213">
        <v>250</v>
      </c>
      <c r="F213">
        <v>0.15</v>
      </c>
      <c r="G213">
        <v>2250</v>
      </c>
      <c r="H213" t="str">
        <f>_xlfn.XLOOKUP(Vendas__2[[#This Row],[Vendedor]],Vendedores!$A$4:$A$9,Vendedores!$B$4:$B$9,"",0)</f>
        <v>Bruno</v>
      </c>
      <c r="I213" t="s">
        <v>118</v>
      </c>
    </row>
    <row r="214" spans="1:9">
      <c r="A214" s="70">
        <v>44448</v>
      </c>
      <c r="B214" t="s">
        <v>95</v>
      </c>
      <c r="C214" t="s">
        <v>12</v>
      </c>
      <c r="D214">
        <v>2</v>
      </c>
      <c r="E214">
        <v>32.9</v>
      </c>
      <c r="F214">
        <v>0.15</v>
      </c>
      <c r="G214">
        <v>65.8</v>
      </c>
      <c r="H214" t="str">
        <f>_xlfn.XLOOKUP(Vendas__2[[#This Row],[Vendedor]],Vendedores!$A$4:$A$9,Vendedores!$B$4:$B$9,"",0)</f>
        <v>Amanda</v>
      </c>
      <c r="I214" t="s">
        <v>117</v>
      </c>
    </row>
    <row r="215" spans="1:9">
      <c r="A215" s="70">
        <v>44449</v>
      </c>
      <c r="B215" t="s">
        <v>51</v>
      </c>
      <c r="C215" t="s">
        <v>12</v>
      </c>
      <c r="D215">
        <v>5</v>
      </c>
      <c r="E215">
        <v>299.89999999999998</v>
      </c>
      <c r="F215">
        <v>0.15</v>
      </c>
      <c r="G215">
        <v>1499.5</v>
      </c>
      <c r="H215" t="str">
        <f>_xlfn.XLOOKUP(Vendas__2[[#This Row],[Vendedor]],Vendedores!$A$4:$A$9,Vendedores!$B$4:$B$9,"",0)</f>
        <v>Bruno</v>
      </c>
      <c r="I215" t="s">
        <v>118</v>
      </c>
    </row>
    <row r="216" spans="1:9">
      <c r="A216" s="70">
        <v>44450</v>
      </c>
      <c r="B216" t="s">
        <v>34</v>
      </c>
      <c r="C216" t="s">
        <v>12</v>
      </c>
      <c r="D216">
        <v>10</v>
      </c>
      <c r="E216">
        <v>70.900000000000006</v>
      </c>
      <c r="F216">
        <v>0.2</v>
      </c>
      <c r="G216">
        <v>709</v>
      </c>
      <c r="H216" t="str">
        <f>_xlfn.XLOOKUP(Vendas__2[[#This Row],[Vendedor]],Vendedores!$A$4:$A$9,Vendedores!$B$4:$B$9,"",0)</f>
        <v>Amanda</v>
      </c>
      <c r="I216" t="s">
        <v>117</v>
      </c>
    </row>
    <row r="217" spans="1:9">
      <c r="A217" s="70">
        <v>44451</v>
      </c>
      <c r="B217" t="s">
        <v>98</v>
      </c>
      <c r="C217" t="s">
        <v>12</v>
      </c>
      <c r="D217">
        <v>11</v>
      </c>
      <c r="E217">
        <v>32.9</v>
      </c>
      <c r="F217">
        <v>0.2</v>
      </c>
      <c r="G217">
        <v>361.9</v>
      </c>
      <c r="H217" t="str">
        <f>_xlfn.XLOOKUP(Vendas__2[[#This Row],[Vendedor]],Vendedores!$A$4:$A$9,Vendedores!$B$4:$B$9,"",0)</f>
        <v>João</v>
      </c>
      <c r="I217" t="s">
        <v>114</v>
      </c>
    </row>
    <row r="218" spans="1:9">
      <c r="A218" s="70">
        <v>44452</v>
      </c>
      <c r="B218" t="s">
        <v>33</v>
      </c>
      <c r="C218" t="s">
        <v>12</v>
      </c>
      <c r="D218">
        <v>9</v>
      </c>
      <c r="E218">
        <v>69.900000000000006</v>
      </c>
      <c r="F218">
        <v>0.2</v>
      </c>
      <c r="G218">
        <v>629.1</v>
      </c>
      <c r="H218" t="str">
        <f>_xlfn.XLOOKUP(Vendas__2[[#This Row],[Vendedor]],Vendedores!$A$4:$A$9,Vendedores!$B$4:$B$9,"",0)</f>
        <v>João</v>
      </c>
      <c r="I218" t="s">
        <v>114</v>
      </c>
    </row>
    <row r="219" spans="1:9">
      <c r="A219" s="70">
        <v>44453</v>
      </c>
      <c r="B219" t="s">
        <v>69</v>
      </c>
      <c r="C219" t="s">
        <v>12</v>
      </c>
      <c r="D219">
        <v>8</v>
      </c>
      <c r="E219">
        <v>142.9</v>
      </c>
      <c r="F219">
        <v>0.15</v>
      </c>
      <c r="G219">
        <v>1143.2</v>
      </c>
      <c r="H219" t="str">
        <f>_xlfn.XLOOKUP(Vendas__2[[#This Row],[Vendedor]],Vendedores!$A$4:$A$9,Vendedores!$B$4:$B$9,"",0)</f>
        <v>Bruno</v>
      </c>
      <c r="I219" t="s">
        <v>118</v>
      </c>
    </row>
    <row r="220" spans="1:9">
      <c r="A220" s="70">
        <v>44454</v>
      </c>
      <c r="B220" t="s">
        <v>36</v>
      </c>
      <c r="C220" t="s">
        <v>13</v>
      </c>
      <c r="D220">
        <v>1</v>
      </c>
      <c r="E220">
        <v>259.89999999999998</v>
      </c>
      <c r="F220">
        <v>0</v>
      </c>
      <c r="G220">
        <v>259.89999999999998</v>
      </c>
      <c r="H220" t="str">
        <f>_xlfn.XLOOKUP(Vendas__2[[#This Row],[Vendedor]],Vendedores!$A$4:$A$9,Vendedores!$B$4:$B$9,"",0)</f>
        <v>Clara</v>
      </c>
      <c r="I220" t="s">
        <v>116</v>
      </c>
    </row>
    <row r="221" spans="1:9">
      <c r="A221" s="70">
        <v>44474</v>
      </c>
      <c r="B221" t="s">
        <v>101</v>
      </c>
      <c r="C221" t="s">
        <v>12</v>
      </c>
      <c r="D221">
        <v>10</v>
      </c>
      <c r="E221">
        <v>49.9</v>
      </c>
      <c r="F221">
        <v>0.1</v>
      </c>
      <c r="G221">
        <v>499</v>
      </c>
      <c r="H221" t="str">
        <f>_xlfn.XLOOKUP(Vendas__2[[#This Row],[Vendedor]],Vendedores!$A$4:$A$9,Vendedores!$B$4:$B$9,"",0)</f>
        <v>Clara</v>
      </c>
      <c r="I221" t="s">
        <v>116</v>
      </c>
    </row>
    <row r="222" spans="1:9">
      <c r="A222" s="70">
        <v>44475</v>
      </c>
      <c r="B222" t="s">
        <v>91</v>
      </c>
      <c r="C222" t="s">
        <v>12</v>
      </c>
      <c r="D222">
        <v>2</v>
      </c>
      <c r="E222">
        <v>289.89999999999998</v>
      </c>
      <c r="F222">
        <v>0.1</v>
      </c>
      <c r="G222">
        <v>579.79999999999995</v>
      </c>
      <c r="H222" t="str">
        <f>_xlfn.XLOOKUP(Vendas__2[[#This Row],[Vendedor]],Vendedores!$A$4:$A$9,Vendedores!$B$4:$B$9,"",0)</f>
        <v>Clara</v>
      </c>
      <c r="I222" t="s">
        <v>116</v>
      </c>
    </row>
    <row r="223" spans="1:9">
      <c r="A223" s="70">
        <v>44476</v>
      </c>
      <c r="B223" t="s">
        <v>32</v>
      </c>
      <c r="C223" t="s">
        <v>12</v>
      </c>
      <c r="D223">
        <v>1</v>
      </c>
      <c r="E223">
        <v>65.900000000000006</v>
      </c>
      <c r="F223">
        <v>0.1</v>
      </c>
      <c r="G223">
        <v>65.900000000000006</v>
      </c>
      <c r="H223" t="str">
        <f>_xlfn.XLOOKUP(Vendas__2[[#This Row],[Vendedor]],Vendedores!$A$4:$A$9,Vendedores!$B$4:$B$9,"",0)</f>
        <v>Amanda</v>
      </c>
      <c r="I223" t="s">
        <v>117</v>
      </c>
    </row>
    <row r="224" spans="1:9">
      <c r="A224" s="70">
        <v>44477</v>
      </c>
      <c r="B224" t="s">
        <v>55</v>
      </c>
      <c r="C224" t="s">
        <v>12</v>
      </c>
      <c r="D224">
        <v>7</v>
      </c>
      <c r="E224">
        <v>259.89999999999998</v>
      </c>
      <c r="F224">
        <v>0.1</v>
      </c>
      <c r="G224">
        <v>1819.3</v>
      </c>
      <c r="H224" t="str">
        <f>_xlfn.XLOOKUP(Vendas__2[[#This Row],[Vendedor]],Vendedores!$A$4:$A$9,Vendedores!$B$4:$B$9,"",0)</f>
        <v>Clara</v>
      </c>
      <c r="I224" t="s">
        <v>116</v>
      </c>
    </row>
    <row r="225" spans="1:9">
      <c r="A225" s="70">
        <v>44478</v>
      </c>
      <c r="B225" t="s">
        <v>42</v>
      </c>
      <c r="C225" t="s">
        <v>12</v>
      </c>
      <c r="D225">
        <v>11</v>
      </c>
      <c r="E225">
        <v>46.9</v>
      </c>
      <c r="F225">
        <v>0.2</v>
      </c>
      <c r="G225">
        <v>515.9</v>
      </c>
      <c r="H225" t="str">
        <f>_xlfn.XLOOKUP(Vendas__2[[#This Row],[Vendedor]],Vendedores!$A$4:$A$9,Vendedores!$B$4:$B$9,"",0)</f>
        <v>João</v>
      </c>
      <c r="I225" t="s">
        <v>114</v>
      </c>
    </row>
    <row r="226" spans="1:9">
      <c r="A226" s="70">
        <v>44479</v>
      </c>
      <c r="B226" t="s">
        <v>106</v>
      </c>
      <c r="C226" t="s">
        <v>14</v>
      </c>
      <c r="D226">
        <v>1</v>
      </c>
      <c r="E226">
        <v>89.9</v>
      </c>
      <c r="F226">
        <v>0</v>
      </c>
      <c r="G226">
        <v>89.9</v>
      </c>
      <c r="H226" t="str">
        <f>_xlfn.XLOOKUP(Vendas__2[[#This Row],[Vendedor]],Vendedores!$A$4:$A$9,Vendedores!$B$4:$B$9,"",0)</f>
        <v>Clara</v>
      </c>
      <c r="I226" t="s">
        <v>116</v>
      </c>
    </row>
    <row r="227" spans="1:9">
      <c r="A227" s="70">
        <v>44480</v>
      </c>
      <c r="B227" t="s">
        <v>69</v>
      </c>
      <c r="C227" t="s">
        <v>12</v>
      </c>
      <c r="D227">
        <v>9</v>
      </c>
      <c r="E227">
        <v>142.9</v>
      </c>
      <c r="F227">
        <v>0.2</v>
      </c>
      <c r="G227">
        <v>1286.0999999999999</v>
      </c>
      <c r="H227" t="str">
        <f>_xlfn.XLOOKUP(Vendas__2[[#This Row],[Vendedor]],Vendedores!$A$4:$A$9,Vendedores!$B$4:$B$9,"",0)</f>
        <v>João</v>
      </c>
      <c r="I227" t="s">
        <v>114</v>
      </c>
    </row>
    <row r="228" spans="1:9">
      <c r="A228" s="70">
        <v>44481</v>
      </c>
      <c r="B228" t="s">
        <v>89</v>
      </c>
      <c r="C228" t="s">
        <v>12</v>
      </c>
      <c r="D228">
        <v>4</v>
      </c>
      <c r="E228">
        <v>72.5</v>
      </c>
      <c r="F228">
        <v>0.1</v>
      </c>
      <c r="G228">
        <v>290</v>
      </c>
      <c r="H228" t="str">
        <f>_xlfn.XLOOKUP(Vendas__2[[#This Row],[Vendedor]],Vendedores!$A$4:$A$9,Vendedores!$B$4:$B$9,"",0)</f>
        <v>Clara</v>
      </c>
      <c r="I228" t="s">
        <v>116</v>
      </c>
    </row>
    <row r="229" spans="1:9">
      <c r="A229" s="70">
        <v>44482</v>
      </c>
      <c r="B229" t="s">
        <v>33</v>
      </c>
      <c r="C229" t="s">
        <v>12</v>
      </c>
      <c r="D229">
        <v>10</v>
      </c>
      <c r="E229">
        <v>69.900000000000006</v>
      </c>
      <c r="F229">
        <v>0.2</v>
      </c>
      <c r="G229">
        <v>699</v>
      </c>
      <c r="H229" t="str">
        <f>_xlfn.XLOOKUP(Vendas__2[[#This Row],[Vendedor]],Vendedores!$A$4:$A$9,Vendedores!$B$4:$B$9,"",0)</f>
        <v>João</v>
      </c>
      <c r="I229" t="s">
        <v>114</v>
      </c>
    </row>
    <row r="230" spans="1:9">
      <c r="A230" s="70">
        <v>44483</v>
      </c>
      <c r="B230" t="s">
        <v>41</v>
      </c>
      <c r="C230" t="s">
        <v>12</v>
      </c>
      <c r="D230">
        <v>2</v>
      </c>
      <c r="E230">
        <v>44.9</v>
      </c>
      <c r="F230">
        <v>0.15</v>
      </c>
      <c r="G230">
        <v>89.8</v>
      </c>
      <c r="H230" t="str">
        <f>_xlfn.XLOOKUP(Vendas__2[[#This Row],[Vendedor]],Vendedores!$A$4:$A$9,Vendedores!$B$4:$B$9,"",0)</f>
        <v>João</v>
      </c>
      <c r="I230" t="s">
        <v>114</v>
      </c>
    </row>
    <row r="231" spans="1:9">
      <c r="A231" s="70">
        <v>44484</v>
      </c>
      <c r="B231" t="s">
        <v>45</v>
      </c>
      <c r="C231" t="s">
        <v>12</v>
      </c>
      <c r="D231">
        <v>10</v>
      </c>
      <c r="E231">
        <v>39.9</v>
      </c>
      <c r="F231">
        <v>0.2</v>
      </c>
      <c r="G231">
        <v>399</v>
      </c>
      <c r="H231" t="str">
        <f>_xlfn.XLOOKUP(Vendas__2[[#This Row],[Vendedor]],Vendedores!$A$4:$A$9,Vendedores!$B$4:$B$9,"",0)</f>
        <v>João</v>
      </c>
      <c r="I231" t="s">
        <v>114</v>
      </c>
    </row>
    <row r="232" spans="1:9">
      <c r="A232" s="70">
        <v>44505</v>
      </c>
      <c r="B232" t="s">
        <v>90</v>
      </c>
      <c r="C232" t="s">
        <v>12</v>
      </c>
      <c r="D232">
        <v>1</v>
      </c>
      <c r="E232">
        <v>72.5</v>
      </c>
      <c r="F232">
        <v>0.1</v>
      </c>
      <c r="G232">
        <v>72.5</v>
      </c>
      <c r="H232" t="str">
        <f>_xlfn.XLOOKUP(Vendas__2[[#This Row],[Vendedor]],Vendedores!$A$4:$A$9,Vendedores!$B$4:$B$9,"",0)</f>
        <v>João</v>
      </c>
      <c r="I232" t="s">
        <v>114</v>
      </c>
    </row>
    <row r="233" spans="1:9">
      <c r="A233" s="70">
        <v>44506</v>
      </c>
      <c r="B233" t="s">
        <v>85</v>
      </c>
      <c r="C233" t="s">
        <v>12</v>
      </c>
      <c r="D233">
        <v>3</v>
      </c>
      <c r="E233">
        <v>54.9</v>
      </c>
      <c r="F233">
        <v>0.15</v>
      </c>
      <c r="G233">
        <v>164.7</v>
      </c>
      <c r="H233" t="str">
        <f>_xlfn.XLOOKUP(Vendas__2[[#This Row],[Vendedor]],Vendedores!$A$4:$A$9,Vendedores!$B$4:$B$9,"",0)</f>
        <v>Bruno</v>
      </c>
      <c r="I233" t="s">
        <v>118</v>
      </c>
    </row>
    <row r="234" spans="1:9">
      <c r="A234" s="70">
        <v>44507</v>
      </c>
      <c r="B234" t="s">
        <v>90</v>
      </c>
      <c r="C234" t="s">
        <v>12</v>
      </c>
      <c r="D234">
        <v>4</v>
      </c>
      <c r="E234">
        <v>72.5</v>
      </c>
      <c r="F234">
        <v>0.2</v>
      </c>
      <c r="G234">
        <v>290</v>
      </c>
      <c r="H234" t="str">
        <f>_xlfn.XLOOKUP(Vendas__2[[#This Row],[Vendedor]],Vendedores!$A$4:$A$9,Vendedores!$B$4:$B$9,"",0)</f>
        <v>Amanda</v>
      </c>
      <c r="I234" t="s">
        <v>117</v>
      </c>
    </row>
    <row r="235" spans="1:9">
      <c r="A235" s="70">
        <v>44508</v>
      </c>
      <c r="B235" t="s">
        <v>90</v>
      </c>
      <c r="C235" t="s">
        <v>12</v>
      </c>
      <c r="D235">
        <v>2</v>
      </c>
      <c r="E235">
        <v>72.5</v>
      </c>
      <c r="F235">
        <v>0.15</v>
      </c>
      <c r="G235">
        <v>145</v>
      </c>
      <c r="H235" t="str">
        <f>_xlfn.XLOOKUP(Vendas__2[[#This Row],[Vendedor]],Vendedores!$A$4:$A$9,Vendedores!$B$4:$B$9,"",0)</f>
        <v>João</v>
      </c>
      <c r="I235" t="s">
        <v>114</v>
      </c>
    </row>
    <row r="236" spans="1:9">
      <c r="A236" s="70">
        <v>44509</v>
      </c>
      <c r="B236" t="s">
        <v>39</v>
      </c>
      <c r="C236" t="s">
        <v>12</v>
      </c>
      <c r="D236">
        <v>3</v>
      </c>
      <c r="E236">
        <v>89.9</v>
      </c>
      <c r="F236">
        <v>0.15</v>
      </c>
      <c r="G236">
        <v>269.7</v>
      </c>
      <c r="H236" t="str">
        <f>_xlfn.XLOOKUP(Vendas__2[[#This Row],[Vendedor]],Vendedores!$A$4:$A$9,Vendedores!$B$4:$B$9,"",0)</f>
        <v>Bruno</v>
      </c>
      <c r="I236" t="s">
        <v>118</v>
      </c>
    </row>
    <row r="237" spans="1:9">
      <c r="A237" s="70">
        <v>44510</v>
      </c>
      <c r="B237" t="s">
        <v>104</v>
      </c>
      <c r="C237" t="s">
        <v>14</v>
      </c>
      <c r="D237">
        <v>4</v>
      </c>
      <c r="E237">
        <v>89.9</v>
      </c>
      <c r="F237">
        <v>0.15</v>
      </c>
      <c r="G237">
        <v>359.6</v>
      </c>
      <c r="H237" t="str">
        <f>_xlfn.XLOOKUP(Vendas__2[[#This Row],[Vendedor]],Vendedores!$A$4:$A$9,Vendedores!$B$4:$B$9,"",0)</f>
        <v>Amanda</v>
      </c>
      <c r="I237" t="s">
        <v>117</v>
      </c>
    </row>
    <row r="238" spans="1:9">
      <c r="A238" s="70">
        <v>44511</v>
      </c>
      <c r="B238" t="s">
        <v>84</v>
      </c>
      <c r="C238" t="s">
        <v>12</v>
      </c>
      <c r="D238">
        <v>9</v>
      </c>
      <c r="E238">
        <v>70</v>
      </c>
      <c r="F238">
        <v>0.15</v>
      </c>
      <c r="G238">
        <v>630</v>
      </c>
      <c r="H238" t="str">
        <f>_xlfn.XLOOKUP(Vendas__2[[#This Row],[Vendedor]],Vendedores!$A$4:$A$9,Vendedores!$B$4:$B$9,"",0)</f>
        <v>Sarah</v>
      </c>
      <c r="I238" t="s">
        <v>115</v>
      </c>
    </row>
    <row r="239" spans="1:9">
      <c r="A239" s="70">
        <v>44512</v>
      </c>
      <c r="B239" t="s">
        <v>34</v>
      </c>
      <c r="C239" t="s">
        <v>12</v>
      </c>
      <c r="D239">
        <v>2</v>
      </c>
      <c r="E239">
        <v>70.900000000000006</v>
      </c>
      <c r="F239">
        <v>0.15</v>
      </c>
      <c r="G239">
        <v>141.80000000000001</v>
      </c>
      <c r="H239" t="str">
        <f>_xlfn.XLOOKUP(Vendas__2[[#This Row],[Vendedor]],Vendedores!$A$4:$A$9,Vendedores!$B$4:$B$9,"",0)</f>
        <v>João</v>
      </c>
      <c r="I239" t="s">
        <v>114</v>
      </c>
    </row>
    <row r="240" spans="1:9">
      <c r="A240" s="70">
        <v>44513</v>
      </c>
      <c r="B240" t="s">
        <v>39</v>
      </c>
      <c r="C240" t="s">
        <v>12</v>
      </c>
      <c r="D240">
        <v>3</v>
      </c>
      <c r="E240">
        <v>89.9</v>
      </c>
      <c r="F240">
        <v>0.15</v>
      </c>
      <c r="G240">
        <v>269.7</v>
      </c>
      <c r="H240" t="str">
        <f>_xlfn.XLOOKUP(Vendas__2[[#This Row],[Vendedor]],Vendedores!$A$4:$A$9,Vendedores!$B$4:$B$9,"",0)</f>
        <v>Sarah</v>
      </c>
      <c r="I240" t="s">
        <v>115</v>
      </c>
    </row>
    <row r="241" spans="1:9">
      <c r="A241" s="70">
        <v>44514</v>
      </c>
      <c r="B241" t="s">
        <v>52</v>
      </c>
      <c r="C241" t="s">
        <v>12</v>
      </c>
      <c r="D241">
        <v>7</v>
      </c>
      <c r="E241">
        <v>302.89999999999998</v>
      </c>
      <c r="F241">
        <v>0.15</v>
      </c>
      <c r="G241">
        <v>2120.3000000000002</v>
      </c>
      <c r="H241" t="str">
        <f>_xlfn.XLOOKUP(Vendas__2[[#This Row],[Vendedor]],Vendedores!$A$4:$A$9,Vendedores!$B$4:$B$9,"",0)</f>
        <v>Bruno</v>
      </c>
      <c r="I241" t="s">
        <v>118</v>
      </c>
    </row>
    <row r="242" spans="1:9">
      <c r="A242" s="70">
        <v>44515</v>
      </c>
      <c r="B242" t="s">
        <v>98</v>
      </c>
      <c r="C242" t="s">
        <v>12</v>
      </c>
      <c r="D242">
        <v>2</v>
      </c>
      <c r="E242">
        <v>32.9</v>
      </c>
      <c r="F242">
        <v>0.1</v>
      </c>
      <c r="G242">
        <v>65.8</v>
      </c>
      <c r="H242" t="str">
        <f>_xlfn.XLOOKUP(Vendas__2[[#This Row],[Vendedor]],Vendedores!$A$4:$A$9,Vendedores!$B$4:$B$9,"",0)</f>
        <v>Clara</v>
      </c>
      <c r="I242" t="s">
        <v>116</v>
      </c>
    </row>
    <row r="243" spans="1:9">
      <c r="A243" s="70">
        <v>44535</v>
      </c>
      <c r="B243" t="s">
        <v>111</v>
      </c>
      <c r="C243" t="s">
        <v>12</v>
      </c>
      <c r="D243">
        <v>3</v>
      </c>
      <c r="E243">
        <v>180</v>
      </c>
      <c r="F243">
        <v>0.1</v>
      </c>
      <c r="G243">
        <v>540</v>
      </c>
      <c r="H243" t="str">
        <f>_xlfn.XLOOKUP(Vendas__2[[#This Row],[Vendedor]],Vendedores!$A$4:$A$9,Vendedores!$B$4:$B$9,"",0)</f>
        <v>Clara</v>
      </c>
      <c r="I243" t="s">
        <v>116</v>
      </c>
    </row>
    <row r="244" spans="1:9">
      <c r="A244" s="70">
        <v>44536</v>
      </c>
      <c r="B244" t="s">
        <v>95</v>
      </c>
      <c r="C244" t="s">
        <v>12</v>
      </c>
      <c r="D244">
        <v>9</v>
      </c>
      <c r="E244">
        <v>32.9</v>
      </c>
      <c r="F244">
        <v>0.15</v>
      </c>
      <c r="G244">
        <v>296.10000000000002</v>
      </c>
      <c r="H244" t="str">
        <f>_xlfn.XLOOKUP(Vendas__2[[#This Row],[Vendedor]],Vendedores!$A$4:$A$9,Vendedores!$B$4:$B$9,"",0)</f>
        <v>Sarah</v>
      </c>
      <c r="I244" t="s">
        <v>115</v>
      </c>
    </row>
    <row r="245" spans="1:9">
      <c r="A245" s="70">
        <v>44537</v>
      </c>
      <c r="B245" t="s">
        <v>65</v>
      </c>
      <c r="C245" t="s">
        <v>12</v>
      </c>
      <c r="D245">
        <v>6</v>
      </c>
      <c r="E245">
        <v>89.9</v>
      </c>
      <c r="F245">
        <v>0.2</v>
      </c>
      <c r="G245">
        <v>539.4</v>
      </c>
      <c r="H245" t="str">
        <f>_xlfn.XLOOKUP(Vendas__2[[#This Row],[Vendedor]],Vendedores!$A$4:$A$9,Vendedores!$B$4:$B$9,"",0)</f>
        <v>Amanda</v>
      </c>
      <c r="I245" t="s">
        <v>117</v>
      </c>
    </row>
    <row r="246" spans="1:9">
      <c r="A246" s="70">
        <v>44538</v>
      </c>
      <c r="B246" t="s">
        <v>63</v>
      </c>
      <c r="C246" t="s">
        <v>14</v>
      </c>
      <c r="D246">
        <v>8</v>
      </c>
      <c r="E246">
        <v>250</v>
      </c>
      <c r="F246">
        <v>0.15</v>
      </c>
      <c r="G246">
        <v>2000</v>
      </c>
      <c r="H246" t="str">
        <f>_xlfn.XLOOKUP(Vendas__2[[#This Row],[Vendedor]],Vendedores!$A$4:$A$9,Vendedores!$B$4:$B$9,"",0)</f>
        <v>Bruno</v>
      </c>
      <c r="I246" t="s">
        <v>118</v>
      </c>
    </row>
    <row r="247" spans="1:9">
      <c r="A247" s="70">
        <v>44539</v>
      </c>
      <c r="B247" t="s">
        <v>64</v>
      </c>
      <c r="C247" t="s">
        <v>14</v>
      </c>
      <c r="D247">
        <v>8</v>
      </c>
      <c r="E247">
        <v>259.89999999999998</v>
      </c>
      <c r="F247">
        <v>0.2</v>
      </c>
      <c r="G247">
        <v>2079.1999999999998</v>
      </c>
      <c r="H247" t="str">
        <f>_xlfn.XLOOKUP(Vendas__2[[#This Row],[Vendedor]],Vendedores!$A$4:$A$9,Vendedores!$B$4:$B$9,"",0)</f>
        <v>Amanda</v>
      </c>
      <c r="I247" t="s">
        <v>117</v>
      </c>
    </row>
    <row r="248" spans="1:9">
      <c r="A248" s="70">
        <v>44540</v>
      </c>
      <c r="B248" t="s">
        <v>33</v>
      </c>
      <c r="C248" t="s">
        <v>12</v>
      </c>
      <c r="D248">
        <v>4</v>
      </c>
      <c r="E248">
        <v>69.900000000000006</v>
      </c>
      <c r="F248">
        <v>0.15</v>
      </c>
      <c r="G248">
        <v>279.60000000000002</v>
      </c>
      <c r="H248" t="str">
        <f>_xlfn.XLOOKUP(Vendas__2[[#This Row],[Vendedor]],Vendedores!$A$4:$A$9,Vendedores!$B$4:$B$9,"",0)</f>
        <v>Bruno</v>
      </c>
      <c r="I248" t="s">
        <v>118</v>
      </c>
    </row>
    <row r="249" spans="1:9">
      <c r="A249" s="70">
        <v>44541</v>
      </c>
      <c r="B249" t="s">
        <v>39</v>
      </c>
      <c r="C249" t="s">
        <v>12</v>
      </c>
      <c r="D249">
        <v>3</v>
      </c>
      <c r="E249">
        <v>89.9</v>
      </c>
      <c r="F249">
        <v>0.2</v>
      </c>
      <c r="G249">
        <v>269.7</v>
      </c>
      <c r="H249" t="str">
        <f>_xlfn.XLOOKUP(Vendas__2[[#This Row],[Vendedor]],Vendedores!$A$4:$A$9,Vendedores!$B$4:$B$9,"",0)</f>
        <v>João</v>
      </c>
      <c r="I249" t="s">
        <v>114</v>
      </c>
    </row>
    <row r="250" spans="1:9">
      <c r="A250" s="70">
        <v>44542</v>
      </c>
      <c r="B250" t="s">
        <v>106</v>
      </c>
      <c r="C250" t="s">
        <v>14</v>
      </c>
      <c r="D250">
        <v>10</v>
      </c>
      <c r="E250">
        <v>89.9</v>
      </c>
      <c r="F250">
        <v>0.2</v>
      </c>
      <c r="G250">
        <v>899</v>
      </c>
      <c r="H250" t="str">
        <f>_xlfn.XLOOKUP(Vendas__2[[#This Row],[Vendedor]],Vendedores!$A$4:$A$9,Vendedores!$B$4:$B$9,"",0)</f>
        <v>João</v>
      </c>
      <c r="I250" t="s">
        <v>114</v>
      </c>
    </row>
    <row r="251" spans="1:9">
      <c r="A251" s="70">
        <v>44543</v>
      </c>
      <c r="B251" t="s">
        <v>89</v>
      </c>
      <c r="C251" t="s">
        <v>12</v>
      </c>
      <c r="D251">
        <v>6</v>
      </c>
      <c r="E251">
        <v>72.5</v>
      </c>
      <c r="F251">
        <v>0.15</v>
      </c>
      <c r="G251">
        <v>435</v>
      </c>
      <c r="H251" t="str">
        <f>_xlfn.XLOOKUP(Vendas__2[[#This Row],[Vendedor]],Vendedores!$A$4:$A$9,Vendedores!$B$4:$B$9,"",0)</f>
        <v>Sarah</v>
      </c>
      <c r="I251" t="s">
        <v>115</v>
      </c>
    </row>
    <row r="252" spans="1:9">
      <c r="A252" s="70">
        <v>44544</v>
      </c>
      <c r="B252" t="s">
        <v>33</v>
      </c>
      <c r="C252" t="s">
        <v>12</v>
      </c>
      <c r="D252">
        <v>1</v>
      </c>
      <c r="E252">
        <v>69.900000000000006</v>
      </c>
      <c r="F252">
        <v>0.1</v>
      </c>
      <c r="G252">
        <v>69.900000000000006</v>
      </c>
      <c r="H252" t="str">
        <f>_xlfn.XLOOKUP(Vendas__2[[#This Row],[Vendedor]],Vendedores!$A$4:$A$9,Vendedores!$B$4:$B$9,"",0)</f>
        <v>Amanda</v>
      </c>
      <c r="I252" t="s">
        <v>117</v>
      </c>
    </row>
    <row r="253" spans="1:9">
      <c r="A253" s="70">
        <v>44545</v>
      </c>
      <c r="B253" t="s">
        <v>91</v>
      </c>
      <c r="C253" t="s">
        <v>12</v>
      </c>
      <c r="D253">
        <v>8</v>
      </c>
      <c r="E253">
        <v>289.89999999999998</v>
      </c>
      <c r="F253">
        <v>0.2</v>
      </c>
      <c r="G253">
        <v>2319.1999999999998</v>
      </c>
      <c r="H253" t="str">
        <f>_xlfn.XLOOKUP(Vendas__2[[#This Row],[Vendedor]],Vendedores!$A$4:$A$9,Vendedores!$B$4:$B$9,"",0)</f>
        <v>Amanda</v>
      </c>
      <c r="I253" t="s">
        <v>117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5CD809-06A9-4A05-BD08-554A0B4697F5}">
  <sheetPr codeName="Planilha8"/>
  <dimension ref="A1:I20"/>
  <sheetViews>
    <sheetView showGridLines="0" zoomScale="110" zoomScaleNormal="110" workbookViewId="0">
      <pane ySplit="1" topLeftCell="A2" activePane="bottomLeft" state="frozen"/>
      <selection pane="bottomLeft" activeCell="E11" sqref="E11"/>
    </sheetView>
  </sheetViews>
  <sheetFormatPr defaultColWidth="8.88671875" defaultRowHeight="14.4" zeroHeight="1"/>
  <cols>
    <col min="1" max="1" width="8.88671875" customWidth="1"/>
    <col min="2" max="2" width="21.88671875" customWidth="1"/>
    <col min="3" max="3" width="34" customWidth="1"/>
    <col min="4" max="4" width="11.6640625" customWidth="1"/>
    <col min="5" max="5" width="21.88671875" customWidth="1"/>
    <col min="6" max="6" width="34" customWidth="1"/>
    <col min="7" max="9" width="8.88671875" customWidth="1"/>
  </cols>
  <sheetData>
    <row r="1" spans="1:9" s="13" customFormat="1" ht="40.200000000000003" customHeight="1">
      <c r="A1" s="16"/>
      <c r="B1" s="20" t="s">
        <v>132</v>
      </c>
      <c r="C1" s="18"/>
      <c r="D1" s="18"/>
      <c r="E1" s="18"/>
      <c r="F1" s="18"/>
      <c r="G1" s="18"/>
      <c r="H1" s="18"/>
      <c r="I1" s="18"/>
    </row>
    <row r="2" spans="1:9" s="14" customFormat="1" ht="4.5" customHeight="1">
      <c r="A2" s="17"/>
      <c r="B2" s="17"/>
      <c r="C2" s="17"/>
      <c r="D2" s="17"/>
      <c r="E2" s="17"/>
      <c r="F2" s="17"/>
    </row>
    <row r="3" spans="1:9" ht="4.5" customHeight="1">
      <c r="A3" s="15"/>
      <c r="B3" s="15"/>
      <c r="C3" s="15"/>
      <c r="D3" s="15"/>
      <c r="E3" s="15"/>
      <c r="F3" s="15"/>
    </row>
    <row r="4" spans="1:9" ht="23.25" customHeight="1">
      <c r="A4" s="15"/>
      <c r="B4" s="76" t="s">
        <v>141</v>
      </c>
      <c r="C4" s="76"/>
      <c r="D4" s="15"/>
      <c r="E4" s="76" t="s">
        <v>148</v>
      </c>
      <c r="F4" s="76"/>
    </row>
    <row r="5" spans="1:9" ht="5.25" customHeight="1" thickBot="1"/>
    <row r="6" spans="1:9" ht="24.6" customHeight="1" thickBot="1">
      <c r="B6" s="45" t="s">
        <v>142</v>
      </c>
      <c r="C6" s="44" t="s">
        <v>103</v>
      </c>
      <c r="E6" s="45" t="s">
        <v>147</v>
      </c>
      <c r="F6" s="49">
        <v>44949</v>
      </c>
    </row>
    <row r="7" spans="1:9" ht="24.6" customHeight="1" thickTop="1" thickBot="1">
      <c r="B7" s="45" t="s">
        <v>143</v>
      </c>
      <c r="C7" s="23" t="str">
        <f>IFERROR(VLOOKUP(C6,TB_Produtos[#All],2,FALSE),"")</f>
        <v>Sandália Rasteira</v>
      </c>
      <c r="E7" s="45" t="s">
        <v>150</v>
      </c>
      <c r="F7" s="23" t="str">
        <f>_xlfn.XLOOKUP(WEEKDAY(F6),'Cadastros Auxiliares'!$B$4:$I$4,'Cadastros Auxiliares'!$B$5:$I$5,"")</f>
        <v>Segunda-feira</v>
      </c>
      <c r="G7" s="22"/>
    </row>
    <row r="8" spans="1:9" ht="24.6" customHeight="1" thickTop="1" thickBot="1">
      <c r="B8" s="46" t="s">
        <v>144</v>
      </c>
      <c r="C8" s="21" cm="1">
        <f t="array" ref="C8">_xlfn.XLOOKUP(C6,TB_Produtos[[#All],[Código]],TB_Produtos[[#All],[Tamanho]],"")</f>
        <v>35</v>
      </c>
      <c r="E8" s="46" t="s">
        <v>151</v>
      </c>
      <c r="F8" s="50">
        <f>SUMIF(TB_Vendas[[#All],[Data]],Consultas!$F$6,TB_Vendas[[#All],[Total]])</f>
        <v>146</v>
      </c>
      <c r="G8" s="22"/>
    </row>
    <row r="9" spans="1:9" ht="24.6" customHeight="1" thickTop="1" thickBot="1">
      <c r="B9" s="47" t="s">
        <v>145</v>
      </c>
      <c r="C9" s="68" t="str">
        <f>IFERROR(VLOOKUP($C$6,Produtos!$B$6:$G$66,4,0),"")</f>
        <v>Calçado</v>
      </c>
      <c r="E9" s="48" t="s">
        <v>149</v>
      </c>
      <c r="F9" s="24">
        <f>SUMIF(TB_Vendas[[#All],[Data]],Consultas!$F$6,TB_Vendas[[#All],[Qtd]])</f>
        <v>1</v>
      </c>
      <c r="G9" s="22"/>
    </row>
    <row r="10" spans="1:9" ht="24.6" customHeight="1" thickTop="1" thickBot="1">
      <c r="B10" s="47" t="s">
        <v>152</v>
      </c>
      <c r="C10" s="67">
        <f>_xlfn.XLOOKUP($C$6,Produtos!$B$6:$B$66,Produtos!$G$6:$G$66,"")</f>
        <v>89.9</v>
      </c>
      <c r="G10" s="22"/>
    </row>
    <row r="11" spans="1:9" ht="24.6" customHeight="1" thickTop="1" thickBot="1">
      <c r="B11" s="46" t="s">
        <v>146</v>
      </c>
      <c r="C11" s="21" cm="1">
        <f t="array" ref="C11">_xlfn.XLOOKUP($C$6,TB_Produtos[[#All],[Código]],TB_Produtos[[#All],[Estoque]],"")</f>
        <v>48</v>
      </c>
      <c r="G11" s="22"/>
    </row>
    <row r="12" spans="1:9" ht="22.8" thickTop="1" thickBot="1">
      <c r="B12" s="47" t="s">
        <v>153</v>
      </c>
      <c r="C12" s="21" t="str" cm="1">
        <f t="array" ref="C12">_xlfn.IFS(C11=0,"Estoque Zerado",C11&gt;=C13,"Estoque OK",1,"Rever Estoque")</f>
        <v>Estoque OK</v>
      </c>
      <c r="E12" s="51"/>
    </row>
    <row r="13" spans="1:9" ht="24.6" thickTop="1" thickBot="1">
      <c r="B13" s="48" t="s">
        <v>155</v>
      </c>
      <c r="C13" s="56">
        <f>_xlfn.XLOOKUP(C9,'Cadastros Auxiliares'!G9:G11,'Cadastros Auxiliares'!H9:H11)</f>
        <v>15</v>
      </c>
      <c r="E13" s="52"/>
    </row>
    <row r="14" spans="1:9"/>
    <row r="15" spans="1:9"/>
    <row r="16" spans="1:9"/>
    <row r="17"/>
    <row r="18"/>
    <row r="19"/>
    <row r="20"/>
  </sheetData>
  <mergeCells count="2">
    <mergeCell ref="B4:C4"/>
    <mergeCell ref="E4:F4"/>
  </mergeCells>
  <pageMargins left="0.511811024" right="0.511811024" top="0.78740157499999996" bottom="0.78740157499999996" header="0.31496062000000002" footer="0.31496062000000002"/>
  <drawing r:id="rId1"/>
  <extLst>
    <ext xmlns:x14="http://schemas.microsoft.com/office/spreadsheetml/2009/9/main" uri="{CCE6A557-97BC-4b89-ADB6-D9C93CAAB3DF}">
      <x14:dataValidations xmlns:xm="http://schemas.microsoft.com/office/excel/2006/main" count="2">
        <x14:dataValidation type="list" allowBlank="1" showInputMessage="1" showErrorMessage="1" xr:uid="{D14864B3-67D5-45F6-83BC-59307DFC7664}">
          <x14:formula1>
            <xm:f>Vendas!$C:$C</xm:f>
          </x14:formula1>
          <xm:sqref>F6</xm:sqref>
        </x14:dataValidation>
        <x14:dataValidation type="list" allowBlank="1" showInputMessage="1" showErrorMessage="1" xr:uid="{386D00EA-C09E-4AF2-85F6-0FFA8584E7FB}">
          <x14:formula1>
            <xm:f>Produtos!$B:$B</xm:f>
          </x14:formula1>
          <xm:sqref>C6</xm:sqref>
        </x14:dataValidation>
      </x14:dataValidations>
    </ext>
  </extLst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E3D9876-5223-46EA-AB95-1E16683FB374}">
  <sheetPr codeName="Planilha9">
    <tabColor rgb="FFFF0000"/>
  </sheetPr>
  <dimension ref="A2:F7"/>
  <sheetViews>
    <sheetView zoomScaleNormal="100" workbookViewId="0">
      <selection activeCell="E12" sqref="E12"/>
    </sheetView>
  </sheetViews>
  <sheetFormatPr defaultRowHeight="14.4"/>
  <cols>
    <col min="1" max="1" width="22.5546875" customWidth="1"/>
    <col min="2" max="2" width="25" customWidth="1"/>
    <col min="3" max="3" width="27.33203125" customWidth="1"/>
    <col min="4" max="4" width="3" customWidth="1"/>
    <col min="5" max="5" width="17.21875" bestFit="1" customWidth="1"/>
    <col min="6" max="6" width="20.5546875" bestFit="1" customWidth="1"/>
    <col min="7" max="14" width="17.88671875" customWidth="1"/>
  </cols>
  <sheetData>
    <row r="2" spans="1:6" ht="70.5" customHeight="1"/>
    <row r="3" spans="1:6">
      <c r="A3" s="63" t="s">
        <v>161</v>
      </c>
      <c r="B3" t="s">
        <v>163</v>
      </c>
      <c r="C3" t="s">
        <v>164</v>
      </c>
      <c r="E3" s="63" t="s">
        <v>161</v>
      </c>
      <c r="F3" t="s">
        <v>166</v>
      </c>
    </row>
    <row r="4" spans="1:6" ht="15.6">
      <c r="A4" s="65" t="s">
        <v>12</v>
      </c>
      <c r="B4" s="73">
        <v>1482</v>
      </c>
      <c r="C4" s="66">
        <v>5298.699999999998</v>
      </c>
      <c r="E4" s="64" t="s">
        <v>12</v>
      </c>
      <c r="F4">
        <v>45</v>
      </c>
    </row>
    <row r="5" spans="1:6" ht="15.6">
      <c r="A5" s="65" t="s">
        <v>13</v>
      </c>
      <c r="B5" s="73">
        <v>159</v>
      </c>
      <c r="C5" s="66">
        <v>964.59999999999991</v>
      </c>
      <c r="E5" s="64" t="s">
        <v>13</v>
      </c>
      <c r="F5">
        <v>6</v>
      </c>
    </row>
    <row r="6" spans="1:6" ht="15.6">
      <c r="A6" s="65" t="s">
        <v>14</v>
      </c>
      <c r="B6" s="73">
        <v>350</v>
      </c>
      <c r="C6" s="66">
        <v>1789.4</v>
      </c>
      <c r="E6" s="64" t="s">
        <v>14</v>
      </c>
      <c r="F6">
        <v>9</v>
      </c>
    </row>
    <row r="7" spans="1:6">
      <c r="A7" s="64" t="s">
        <v>162</v>
      </c>
      <c r="B7" s="1">
        <v>1991</v>
      </c>
      <c r="C7" s="2">
        <v>8052.6999999999971</v>
      </c>
      <c r="E7" s="64" t="s">
        <v>162</v>
      </c>
      <c r="F7">
        <v>60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</extLst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8596D3-80D9-45CB-8470-0336A1A0CD4A}">
  <sheetPr codeName="Planilha10">
    <tabColor rgb="FFFF0000"/>
  </sheetPr>
  <dimension ref="A1:N14"/>
  <sheetViews>
    <sheetView workbookViewId="0">
      <selection activeCell="E17" sqref="E17"/>
    </sheetView>
  </sheetViews>
  <sheetFormatPr defaultRowHeight="14.4"/>
  <cols>
    <col min="1" max="1" width="16.21875" bestFit="1" customWidth="1"/>
    <col min="2" max="2" width="17.5546875" bestFit="1" customWidth="1"/>
    <col min="3" max="3" width="17.88671875" bestFit="1" customWidth="1"/>
    <col min="4" max="4" width="20" bestFit="1" customWidth="1"/>
    <col min="5" max="5" width="22.109375" bestFit="1" customWidth="1"/>
    <col min="6" max="6" width="17.109375" bestFit="1" customWidth="1"/>
    <col min="7" max="7" width="26.21875" bestFit="1" customWidth="1"/>
    <col min="8" max="8" width="19.109375" bestFit="1" customWidth="1"/>
    <col min="9" max="9" width="36.109375" bestFit="1" customWidth="1"/>
    <col min="10" max="10" width="30.5546875" bestFit="1" customWidth="1"/>
    <col min="11" max="11" width="32.88671875" bestFit="1" customWidth="1"/>
    <col min="12" max="12" width="26.44140625" bestFit="1" customWidth="1"/>
    <col min="13" max="13" width="18.21875" bestFit="1" customWidth="1"/>
    <col min="14" max="14" width="22.44140625" bestFit="1" customWidth="1"/>
  </cols>
  <sheetData>
    <row r="1" spans="1:14">
      <c r="A1" s="71" t="s">
        <v>192</v>
      </c>
    </row>
    <row r="3" spans="1:14">
      <c r="A3" t="s">
        <v>178</v>
      </c>
      <c r="B3" t="s">
        <v>179</v>
      </c>
      <c r="C3" t="s">
        <v>180</v>
      </c>
      <c r="D3" t="s">
        <v>181</v>
      </c>
      <c r="E3" t="s">
        <v>182</v>
      </c>
      <c r="F3" t="s">
        <v>183</v>
      </c>
      <c r="G3" t="s">
        <v>184</v>
      </c>
      <c r="H3" t="s">
        <v>185</v>
      </c>
      <c r="I3" t="s">
        <v>186</v>
      </c>
      <c r="J3" t="s">
        <v>187</v>
      </c>
      <c r="K3" t="s">
        <v>188</v>
      </c>
      <c r="L3" t="s">
        <v>189</v>
      </c>
      <c r="M3" t="s">
        <v>190</v>
      </c>
      <c r="N3" t="s">
        <v>191</v>
      </c>
    </row>
    <row r="4" spans="1:14">
      <c r="A4">
        <v>1</v>
      </c>
      <c r="B4" t="s">
        <v>171</v>
      </c>
      <c r="C4" s="70">
        <v>44931</v>
      </c>
      <c r="D4" t="s">
        <v>37</v>
      </c>
      <c r="E4" t="s">
        <v>13</v>
      </c>
      <c r="F4">
        <v>1</v>
      </c>
      <c r="G4">
        <v>39.9</v>
      </c>
      <c r="H4">
        <v>2</v>
      </c>
      <c r="I4">
        <v>0</v>
      </c>
      <c r="J4">
        <v>0</v>
      </c>
      <c r="K4">
        <v>0.15</v>
      </c>
      <c r="L4">
        <v>0</v>
      </c>
      <c r="M4">
        <v>39.9</v>
      </c>
      <c r="N4" t="s">
        <v>115</v>
      </c>
    </row>
    <row r="5" spans="1:14">
      <c r="A5">
        <v>1</v>
      </c>
      <c r="B5" t="s">
        <v>171</v>
      </c>
      <c r="C5" s="70">
        <v>44932</v>
      </c>
      <c r="D5" t="s">
        <v>36</v>
      </c>
      <c r="E5" t="s">
        <v>13</v>
      </c>
      <c r="F5">
        <v>1</v>
      </c>
      <c r="G5">
        <v>259.89999999999998</v>
      </c>
      <c r="H5">
        <v>2</v>
      </c>
      <c r="I5">
        <v>0</v>
      </c>
      <c r="J5">
        <v>0</v>
      </c>
      <c r="K5">
        <v>0.15</v>
      </c>
      <c r="L5">
        <v>0</v>
      </c>
      <c r="M5">
        <v>259.89999999999998</v>
      </c>
      <c r="N5" t="s">
        <v>115</v>
      </c>
    </row>
    <row r="6" spans="1:14">
      <c r="A6">
        <v>3</v>
      </c>
      <c r="B6" t="s">
        <v>175</v>
      </c>
      <c r="C6" s="70">
        <v>44994</v>
      </c>
      <c r="D6" t="s">
        <v>58</v>
      </c>
      <c r="E6" t="s">
        <v>13</v>
      </c>
      <c r="F6">
        <v>2</v>
      </c>
      <c r="G6">
        <v>120</v>
      </c>
      <c r="H6">
        <v>2</v>
      </c>
      <c r="I6">
        <v>0.05</v>
      </c>
      <c r="J6">
        <v>0.05</v>
      </c>
      <c r="K6">
        <v>0.15</v>
      </c>
      <c r="L6">
        <v>0.05</v>
      </c>
      <c r="M6">
        <v>240</v>
      </c>
      <c r="N6" t="s">
        <v>115</v>
      </c>
    </row>
    <row r="7" spans="1:14">
      <c r="A7">
        <v>3</v>
      </c>
      <c r="B7" t="s">
        <v>175</v>
      </c>
      <c r="C7" s="70">
        <v>45010</v>
      </c>
      <c r="D7" t="s">
        <v>57</v>
      </c>
      <c r="E7" t="s">
        <v>13</v>
      </c>
      <c r="F7">
        <v>3</v>
      </c>
      <c r="G7">
        <v>349.9</v>
      </c>
      <c r="H7">
        <v>2</v>
      </c>
      <c r="I7">
        <v>0.15</v>
      </c>
      <c r="J7">
        <v>0.15</v>
      </c>
      <c r="K7">
        <v>0.2</v>
      </c>
      <c r="L7">
        <v>0.15</v>
      </c>
      <c r="M7">
        <v>1049.6999999999998</v>
      </c>
      <c r="N7" t="s">
        <v>114</v>
      </c>
    </row>
    <row r="8" spans="1:14">
      <c r="A8">
        <v>4</v>
      </c>
      <c r="B8" t="s">
        <v>168</v>
      </c>
      <c r="C8" s="70">
        <v>45027</v>
      </c>
      <c r="D8" t="s">
        <v>35</v>
      </c>
      <c r="E8" t="s">
        <v>13</v>
      </c>
      <c r="F8">
        <v>2</v>
      </c>
      <c r="G8">
        <v>145</v>
      </c>
      <c r="H8">
        <v>2</v>
      </c>
      <c r="I8">
        <v>0.05</v>
      </c>
      <c r="J8">
        <v>0.05</v>
      </c>
      <c r="K8">
        <v>0.2</v>
      </c>
      <c r="L8">
        <v>0.05</v>
      </c>
      <c r="M8">
        <v>290</v>
      </c>
      <c r="N8" t="s">
        <v>114</v>
      </c>
    </row>
    <row r="9" spans="1:14">
      <c r="A9">
        <v>4</v>
      </c>
      <c r="B9" t="s">
        <v>168</v>
      </c>
      <c r="C9" s="70">
        <v>45028</v>
      </c>
      <c r="D9" t="s">
        <v>37</v>
      </c>
      <c r="E9" t="s">
        <v>13</v>
      </c>
      <c r="F9">
        <v>1</v>
      </c>
      <c r="G9">
        <v>39.9</v>
      </c>
      <c r="H9">
        <v>2</v>
      </c>
      <c r="I9">
        <v>0</v>
      </c>
      <c r="J9">
        <v>0</v>
      </c>
      <c r="K9">
        <v>0.15</v>
      </c>
      <c r="L9">
        <v>0</v>
      </c>
      <c r="M9">
        <v>39.9</v>
      </c>
      <c r="N9" t="s">
        <v>115</v>
      </c>
    </row>
    <row r="10" spans="1:14">
      <c r="A10">
        <v>4</v>
      </c>
      <c r="B10" t="s">
        <v>168</v>
      </c>
      <c r="C10" s="70">
        <v>45029</v>
      </c>
      <c r="D10" t="s">
        <v>57</v>
      </c>
      <c r="E10" t="s">
        <v>13</v>
      </c>
      <c r="F10">
        <v>3</v>
      </c>
      <c r="G10">
        <v>349.9</v>
      </c>
      <c r="H10">
        <v>2</v>
      </c>
      <c r="I10">
        <v>0.15</v>
      </c>
      <c r="J10">
        <v>0.15</v>
      </c>
      <c r="K10">
        <v>0.2</v>
      </c>
      <c r="L10">
        <v>0.15</v>
      </c>
      <c r="M10">
        <v>1049.6999999999998</v>
      </c>
      <c r="N10" t="s">
        <v>117</v>
      </c>
    </row>
    <row r="11" spans="1:14">
      <c r="A11">
        <v>4</v>
      </c>
      <c r="B11" t="s">
        <v>168</v>
      </c>
      <c r="C11" s="70">
        <v>45042</v>
      </c>
      <c r="D11" t="s">
        <v>35</v>
      </c>
      <c r="E11" t="s">
        <v>13</v>
      </c>
      <c r="F11">
        <v>1</v>
      </c>
      <c r="G11">
        <v>145</v>
      </c>
      <c r="H11">
        <v>2</v>
      </c>
      <c r="I11">
        <v>0</v>
      </c>
      <c r="J11">
        <v>0</v>
      </c>
      <c r="K11">
        <v>0.15</v>
      </c>
      <c r="L11">
        <v>0</v>
      </c>
      <c r="M11">
        <v>145</v>
      </c>
      <c r="N11" t="s">
        <v>118</v>
      </c>
    </row>
    <row r="12" spans="1:14">
      <c r="A12">
        <v>5</v>
      </c>
      <c r="B12" t="s">
        <v>174</v>
      </c>
      <c r="C12" s="70">
        <v>45057</v>
      </c>
      <c r="D12" t="s">
        <v>57</v>
      </c>
      <c r="E12" t="s">
        <v>13</v>
      </c>
      <c r="F12">
        <v>2</v>
      </c>
      <c r="G12">
        <v>349.9</v>
      </c>
      <c r="H12">
        <v>2</v>
      </c>
      <c r="I12">
        <v>0.05</v>
      </c>
      <c r="J12">
        <v>0.05</v>
      </c>
      <c r="K12">
        <v>0.2</v>
      </c>
      <c r="L12">
        <v>0.05</v>
      </c>
      <c r="M12">
        <v>699.8</v>
      </c>
      <c r="N12" t="s">
        <v>117</v>
      </c>
    </row>
    <row r="13" spans="1:14">
      <c r="A13">
        <v>5</v>
      </c>
      <c r="B13" t="s">
        <v>174</v>
      </c>
      <c r="C13" s="70">
        <v>45064</v>
      </c>
      <c r="D13" t="s">
        <v>36</v>
      </c>
      <c r="E13" t="s">
        <v>13</v>
      </c>
      <c r="F13">
        <v>4</v>
      </c>
      <c r="G13">
        <v>259.89999999999998</v>
      </c>
      <c r="H13">
        <v>2</v>
      </c>
      <c r="I13">
        <v>0.15</v>
      </c>
      <c r="J13">
        <v>0.15</v>
      </c>
      <c r="K13">
        <v>0.15</v>
      </c>
      <c r="L13">
        <v>0.15</v>
      </c>
      <c r="M13">
        <v>1039.5999999999999</v>
      </c>
      <c r="N13" t="s">
        <v>115</v>
      </c>
    </row>
    <row r="14" spans="1:14">
      <c r="A14">
        <v>6</v>
      </c>
      <c r="B14" t="s">
        <v>173</v>
      </c>
      <c r="C14" s="70">
        <v>45084</v>
      </c>
      <c r="D14" t="s">
        <v>35</v>
      </c>
      <c r="E14" t="s">
        <v>13</v>
      </c>
      <c r="F14">
        <v>3</v>
      </c>
      <c r="G14">
        <v>145</v>
      </c>
      <c r="H14">
        <v>2</v>
      </c>
      <c r="I14">
        <v>0.15</v>
      </c>
      <c r="J14">
        <v>0.15</v>
      </c>
      <c r="K14">
        <v>0.2</v>
      </c>
      <c r="L14">
        <v>0.15</v>
      </c>
      <c r="M14">
        <v>435</v>
      </c>
      <c r="N14" t="s">
        <v>114</v>
      </c>
    </row>
  </sheetData>
  <pageMargins left="0.511811024" right="0.511811024" top="0.78740157499999996" bottom="0.78740157499999996" header="0.31496062000000002" footer="0.31496062000000002"/>
  <tableParts count="1">
    <tablePart r:id="rId1"/>
  </tablePart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025D837-B452-490D-A671-9B37EFAC20E7}">
  <sheetPr codeName="Planilha11">
    <tabColor rgb="FFFF0000"/>
  </sheetPr>
  <dimension ref="A3:H19"/>
  <sheetViews>
    <sheetView workbookViewId="0">
      <selection activeCell="E17" sqref="E17:G17"/>
    </sheetView>
  </sheetViews>
  <sheetFormatPr defaultRowHeight="14.4"/>
  <cols>
    <col min="1" max="1" width="17.21875" bestFit="1" customWidth="1"/>
    <col min="2" max="2" width="10.44140625" bestFit="1" customWidth="1"/>
    <col min="3" max="3" width="9.77734375" bestFit="1" customWidth="1"/>
    <col min="4" max="4" width="13.109375" bestFit="1" customWidth="1"/>
    <col min="5" max="6" width="9.77734375" bestFit="1" customWidth="1"/>
  </cols>
  <sheetData>
    <row r="3" spans="1:8">
      <c r="A3" s="63" t="s">
        <v>161</v>
      </c>
      <c r="B3" t="s">
        <v>165</v>
      </c>
      <c r="C3" s="2" t="s">
        <v>167</v>
      </c>
    </row>
    <row r="4" spans="1:8">
      <c r="A4" s="64" t="s">
        <v>168</v>
      </c>
      <c r="B4">
        <v>28</v>
      </c>
      <c r="C4" s="2">
        <v>3651.0999999999995</v>
      </c>
    </row>
    <row r="5" spans="1:8">
      <c r="A5" s="64" t="s">
        <v>169</v>
      </c>
      <c r="B5">
        <v>56</v>
      </c>
      <c r="C5" s="2">
        <v>6373.7</v>
      </c>
    </row>
    <row r="6" spans="1:8">
      <c r="A6" s="64" t="s">
        <v>170</v>
      </c>
      <c r="B6">
        <v>15</v>
      </c>
      <c r="C6" s="2">
        <v>2974.9</v>
      </c>
    </row>
    <row r="7" spans="1:8">
      <c r="A7" s="64" t="s">
        <v>171</v>
      </c>
      <c r="B7">
        <v>14</v>
      </c>
      <c r="C7" s="2">
        <v>1750.9</v>
      </c>
    </row>
    <row r="8" spans="1:8">
      <c r="A8" s="64" t="s">
        <v>172</v>
      </c>
      <c r="B8">
        <v>53</v>
      </c>
      <c r="C8" s="2">
        <v>8602.0999999999985</v>
      </c>
    </row>
    <row r="9" spans="1:8">
      <c r="A9" s="64" t="s">
        <v>173</v>
      </c>
      <c r="B9">
        <v>41</v>
      </c>
      <c r="C9" s="2">
        <v>3477.7000000000007</v>
      </c>
    </row>
    <row r="10" spans="1:8">
      <c r="A10" s="64" t="s">
        <v>174</v>
      </c>
      <c r="B10">
        <v>17</v>
      </c>
      <c r="C10" s="2">
        <v>2776.2999999999997</v>
      </c>
    </row>
    <row r="11" spans="1:8">
      <c r="A11" s="64" t="s">
        <v>175</v>
      </c>
      <c r="B11">
        <v>26</v>
      </c>
      <c r="C11" s="2">
        <v>3698.1</v>
      </c>
    </row>
    <row r="12" spans="1:8">
      <c r="A12" s="64" t="s">
        <v>162</v>
      </c>
      <c r="B12">
        <v>250</v>
      </c>
      <c r="C12" s="2">
        <v>33304.799999999988</v>
      </c>
    </row>
    <row r="15" spans="1:8">
      <c r="A15" s="63" t="s">
        <v>161</v>
      </c>
      <c r="B15" t="s">
        <v>176</v>
      </c>
      <c r="C15" t="s">
        <v>177</v>
      </c>
      <c r="D15" t="s">
        <v>167</v>
      </c>
      <c r="E15" s="64" t="s">
        <v>13</v>
      </c>
      <c r="F15" s="69">
        <v>0.15879092503182729</v>
      </c>
      <c r="G15" s="69">
        <v>0.84120907496817265</v>
      </c>
      <c r="H15" s="2">
        <v>5288.5</v>
      </c>
    </row>
    <row r="16" spans="1:8">
      <c r="A16" s="64" t="s">
        <v>13</v>
      </c>
      <c r="B16" s="69">
        <v>0.15879092503182729</v>
      </c>
      <c r="C16" s="69">
        <v>0.84120907496817265</v>
      </c>
      <c r="D16" s="2">
        <v>5288.5</v>
      </c>
      <c r="E16" s="64" t="s">
        <v>14</v>
      </c>
      <c r="F16" s="69">
        <v>0.10835675338089411</v>
      </c>
      <c r="G16" s="69">
        <v>0.89164324661910588</v>
      </c>
      <c r="H16" s="2">
        <v>3608.8000000000006</v>
      </c>
    </row>
    <row r="17" spans="1:8">
      <c r="A17" s="64" t="s">
        <v>14</v>
      </c>
      <c r="B17" s="69">
        <v>0.10835675338089411</v>
      </c>
      <c r="C17" s="69">
        <v>0.89164324661910588</v>
      </c>
      <c r="D17" s="2">
        <v>3608.8000000000006</v>
      </c>
      <c r="E17" s="64" t="s">
        <v>12</v>
      </c>
      <c r="F17" s="69">
        <v>0.73285232158727887</v>
      </c>
      <c r="G17" s="69">
        <v>0.26714767841272113</v>
      </c>
      <c r="H17" s="2">
        <v>24407.499999999996</v>
      </c>
    </row>
    <row r="18" spans="1:8">
      <c r="A18" s="64" t="s">
        <v>12</v>
      </c>
      <c r="B18" s="69">
        <v>0.73285232158727887</v>
      </c>
      <c r="C18" s="69">
        <v>0.26714767841272113</v>
      </c>
      <c r="D18" s="2">
        <v>24407.499999999996</v>
      </c>
      <c r="F18" s="64"/>
      <c r="G18" s="69"/>
      <c r="H18" s="69"/>
    </row>
    <row r="19" spans="1:8">
      <c r="A19" s="64" t="s">
        <v>162</v>
      </c>
      <c r="B19" s="69">
        <v>1</v>
      </c>
      <c r="C19" s="69">
        <v>0</v>
      </c>
      <c r="D19" s="2">
        <v>33304.799999999988</v>
      </c>
    </row>
  </sheetData>
  <pageMargins left="0.511811024" right="0.511811024" top="0.78740157499999996" bottom="0.78740157499999996" header="0.31496062000000002" footer="0.31496062000000002"/>
  <drawing r:id="rId3"/>
  <extLst>
    <ext xmlns:x14="http://schemas.microsoft.com/office/spreadsheetml/2009/9/main" uri="{A8765BA9-456A-4dab-B4F3-ACF838C121DE}">
      <x14:slicerList>
        <x14:slicer r:id="rId4"/>
      </x14:slicerList>
    </ex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12BDC0-A65B-4C9D-82C8-12971CC672AB}">
  <sheetPr codeName="Planilha12">
    <tabColor rgb="FFFF0000"/>
  </sheetPr>
  <dimension ref="B1:J20"/>
  <sheetViews>
    <sheetView workbookViewId="0">
      <selection activeCell="E16" sqref="E16"/>
    </sheetView>
  </sheetViews>
  <sheetFormatPr defaultRowHeight="14.4"/>
  <cols>
    <col min="1" max="1" width="8" customWidth="1"/>
    <col min="2" max="2" width="30.88671875" customWidth="1"/>
    <col min="3" max="9" width="17.44140625" customWidth="1"/>
  </cols>
  <sheetData>
    <row r="1" spans="2:10" s="13" customFormat="1" ht="40.200000000000003" customHeight="1">
      <c r="B1" s="36" t="s">
        <v>123</v>
      </c>
      <c r="C1" s="20"/>
      <c r="D1" s="20"/>
      <c r="E1" s="20"/>
      <c r="F1" s="20"/>
      <c r="G1" s="20"/>
      <c r="H1" s="20"/>
      <c r="I1" s="18"/>
      <c r="J1" s="18"/>
    </row>
    <row r="2" spans="2:10" s="14" customFormat="1" ht="4.5" customHeight="1">
      <c r="B2" s="17"/>
      <c r="C2" s="17"/>
      <c r="D2" s="17"/>
      <c r="E2" s="17"/>
      <c r="F2" s="17"/>
      <c r="G2" s="17"/>
    </row>
    <row r="3" spans="2:10" ht="4.5" customHeight="1" thickBot="1">
      <c r="B3" s="15"/>
      <c r="C3" s="15"/>
      <c r="D3" s="15"/>
      <c r="E3" s="15"/>
      <c r="F3" s="15"/>
      <c r="G3" s="15"/>
    </row>
    <row r="4" spans="2:10" ht="22.2" thickBot="1">
      <c r="B4" s="10" t="s">
        <v>30</v>
      </c>
      <c r="C4" s="11">
        <v>1</v>
      </c>
      <c r="D4" s="12">
        <v>2</v>
      </c>
      <c r="E4" s="11">
        <v>3</v>
      </c>
      <c r="F4" s="12">
        <v>4</v>
      </c>
      <c r="G4" s="11">
        <v>5</v>
      </c>
      <c r="H4" s="12">
        <v>6</v>
      </c>
      <c r="I4" s="11">
        <v>7</v>
      </c>
    </row>
    <row r="5" spans="2:10" s="29" customFormat="1" ht="22.2" thickBot="1">
      <c r="B5" s="27" t="s">
        <v>124</v>
      </c>
      <c r="C5" s="28" t="s">
        <v>125</v>
      </c>
      <c r="D5" s="28" t="s">
        <v>126</v>
      </c>
      <c r="E5" s="28" t="s">
        <v>127</v>
      </c>
      <c r="F5" s="28" t="s">
        <v>128</v>
      </c>
      <c r="G5" s="28" t="s">
        <v>129</v>
      </c>
      <c r="H5" s="28" t="s">
        <v>130</v>
      </c>
      <c r="I5" s="28" t="s">
        <v>131</v>
      </c>
    </row>
    <row r="7" spans="2:10" ht="15" thickBot="1"/>
    <row r="8" spans="2:10" ht="43.8" thickBot="1">
      <c r="B8" s="33" t="s">
        <v>140</v>
      </c>
      <c r="C8" s="34" t="s">
        <v>13</v>
      </c>
      <c r="D8" s="34" t="s">
        <v>12</v>
      </c>
      <c r="E8" s="34" t="s">
        <v>14</v>
      </c>
      <c r="G8" s="53" t="s">
        <v>10</v>
      </c>
      <c r="H8" s="54" t="s">
        <v>154</v>
      </c>
    </row>
    <row r="9" spans="2:10" ht="17.399999999999999" thickBot="1">
      <c r="B9" s="28">
        <v>1</v>
      </c>
      <c r="C9" s="32">
        <v>0</v>
      </c>
      <c r="D9" s="32">
        <v>0.1</v>
      </c>
      <c r="E9" s="35">
        <v>0</v>
      </c>
      <c r="G9" s="28" t="s">
        <v>13</v>
      </c>
      <c r="H9" s="55">
        <v>5</v>
      </c>
    </row>
    <row r="10" spans="2:10" ht="17.399999999999999" thickBot="1">
      <c r="B10" s="28">
        <v>2</v>
      </c>
      <c r="C10" s="32">
        <v>0.05</v>
      </c>
      <c r="D10" s="32">
        <v>0.15</v>
      </c>
      <c r="E10" s="35">
        <v>0.1</v>
      </c>
      <c r="G10" s="28" t="s">
        <v>12</v>
      </c>
      <c r="H10" s="55">
        <v>10</v>
      </c>
    </row>
    <row r="11" spans="2:10" ht="17.399999999999999" thickBot="1">
      <c r="B11" s="28">
        <v>3</v>
      </c>
      <c r="C11" s="32">
        <v>0.15</v>
      </c>
      <c r="D11" s="32">
        <v>0.2</v>
      </c>
      <c r="E11" s="35">
        <v>0.15</v>
      </c>
      <c r="G11" s="28" t="s">
        <v>14</v>
      </c>
      <c r="H11" s="55">
        <v>15</v>
      </c>
    </row>
    <row r="12" spans="2:10" ht="17.399999999999999" thickBot="1">
      <c r="B12" s="28">
        <v>5</v>
      </c>
      <c r="C12" s="32">
        <v>0.25</v>
      </c>
      <c r="D12" s="32">
        <v>0.25</v>
      </c>
      <c r="E12" s="35">
        <v>0.25</v>
      </c>
    </row>
    <row r="13" spans="2:10" ht="17.399999999999999" thickBot="1">
      <c r="B13" s="28">
        <v>10</v>
      </c>
      <c r="C13" s="32">
        <v>0.3</v>
      </c>
      <c r="D13" s="32">
        <v>0.3</v>
      </c>
      <c r="E13" s="35">
        <v>0.3</v>
      </c>
      <c r="G13" s="42"/>
    </row>
    <row r="15" spans="2:10" ht="23.4">
      <c r="B15" s="52"/>
      <c r="C15" s="52"/>
      <c r="D15" s="52"/>
      <c r="E15" s="52"/>
      <c r="F15" s="52"/>
    </row>
    <row r="16" spans="2:10" ht="23.4">
      <c r="B16" s="52"/>
      <c r="C16" s="52"/>
      <c r="D16" s="52"/>
      <c r="E16" s="52"/>
      <c r="F16" s="52"/>
    </row>
    <row r="17" spans="2:6" ht="23.4">
      <c r="B17" s="52"/>
      <c r="C17" s="52"/>
      <c r="D17" s="62"/>
      <c r="E17" s="52"/>
      <c r="F17" s="52"/>
    </row>
    <row r="18" spans="2:6" ht="23.4">
      <c r="B18" s="52"/>
      <c r="C18" s="52"/>
      <c r="D18" s="52"/>
      <c r="E18" s="52"/>
      <c r="F18" s="62"/>
    </row>
    <row r="19" spans="2:6" ht="23.4">
      <c r="B19" s="52"/>
      <c r="C19" s="52"/>
      <c r="D19" s="52"/>
      <c r="E19" s="52"/>
      <c r="F19" s="52"/>
    </row>
    <row r="20" spans="2:6" ht="23.4">
      <c r="B20" s="52"/>
      <c r="C20" s="52"/>
      <c r="D20" s="52"/>
      <c r="E20" s="52"/>
      <c r="F20" s="52"/>
    </row>
  </sheetData>
  <phoneticPr fontId="11" type="noConversion"/>
  <pageMargins left="0.511811024" right="0.511811024" top="0.78740157499999996" bottom="0.78740157499999996" header="0.31496062000000002" footer="0.31496062000000002"/>
  <drawing r:id="rId1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C26F06F-04D2-4B07-B839-583E45F63BB9}">
  <sheetPr codeName="Planilha13"/>
  <dimension ref="B3:D12"/>
  <sheetViews>
    <sheetView workbookViewId="0">
      <selection activeCell="C3" sqref="C3:C12"/>
    </sheetView>
  </sheetViews>
  <sheetFormatPr defaultRowHeight="14.4"/>
  <cols>
    <col min="2" max="2" width="17.21875" bestFit="1" customWidth="1"/>
    <col min="3" max="3" width="14.44140625" bestFit="1" customWidth="1"/>
    <col min="4" max="4" width="11.88671875" bestFit="1" customWidth="1"/>
  </cols>
  <sheetData>
    <row r="3" spans="2:4">
      <c r="B3" s="63" t="s">
        <v>161</v>
      </c>
      <c r="C3" s="2" t="s">
        <v>167</v>
      </c>
      <c r="D3" t="s">
        <v>165</v>
      </c>
    </row>
    <row r="4" spans="2:4">
      <c r="B4" s="64" t="s">
        <v>168</v>
      </c>
      <c r="C4" s="2">
        <v>3651.0999999999995</v>
      </c>
      <c r="D4">
        <v>28</v>
      </c>
    </row>
    <row r="5" spans="2:4">
      <c r="B5" s="64" t="s">
        <v>169</v>
      </c>
      <c r="C5" s="2">
        <v>6373.7</v>
      </c>
      <c r="D5">
        <v>56</v>
      </c>
    </row>
    <row r="6" spans="2:4">
      <c r="B6" s="64" t="s">
        <v>170</v>
      </c>
      <c r="C6" s="2">
        <v>2974.9</v>
      </c>
      <c r="D6">
        <v>15</v>
      </c>
    </row>
    <row r="7" spans="2:4">
      <c r="B7" s="64" t="s">
        <v>171</v>
      </c>
      <c r="C7" s="2">
        <v>1750.9</v>
      </c>
      <c r="D7">
        <v>14</v>
      </c>
    </row>
    <row r="8" spans="2:4">
      <c r="B8" s="64" t="s">
        <v>172</v>
      </c>
      <c r="C8" s="2">
        <v>8602.0999999999985</v>
      </c>
      <c r="D8">
        <v>53</v>
      </c>
    </row>
    <row r="9" spans="2:4">
      <c r="B9" s="64" t="s">
        <v>173</v>
      </c>
      <c r="C9" s="2">
        <v>3477.7000000000007</v>
      </c>
      <c r="D9">
        <v>41</v>
      </c>
    </row>
    <row r="10" spans="2:4">
      <c r="B10" s="64" t="s">
        <v>174</v>
      </c>
      <c r="C10" s="2">
        <v>2776.2999999999997</v>
      </c>
      <c r="D10">
        <v>17</v>
      </c>
    </row>
    <row r="11" spans="2:4">
      <c r="B11" s="64" t="s">
        <v>175</v>
      </c>
      <c r="C11" s="2">
        <v>3698.1</v>
      </c>
      <c r="D11">
        <v>26</v>
      </c>
    </row>
    <row r="12" spans="2:4">
      <c r="B12" s="64" t="s">
        <v>162</v>
      </c>
      <c r="C12" s="2">
        <v>33304.799999999988</v>
      </c>
      <c r="D12">
        <v>250</v>
      </c>
    </row>
  </sheetData>
  <pageMargins left="0.511811024" right="0.511811024" top="0.78740157499999996" bottom="0.78740157499999996" header="0.31496062000000002" footer="0.31496062000000002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8B2923-A8F6-4420-B78A-7FE8F31CC331}">
  <sheetPr codeName="Planilha14"/>
  <dimension ref="C1:CE46"/>
  <sheetViews>
    <sheetView showGridLines="0" showRowColHeaders="0" topLeftCell="P1" zoomScale="95" zoomScaleNormal="95" workbookViewId="0">
      <selection activeCell="CN8" sqref="CN8"/>
    </sheetView>
  </sheetViews>
  <sheetFormatPr defaultColWidth="2" defaultRowHeight="9.75" customHeight="1"/>
  <cols>
    <col min="1" max="16384" width="2" style="5"/>
  </cols>
  <sheetData>
    <row r="1" spans="3:83" ht="9.75" customHeight="1">
      <c r="W1" s="72"/>
      <c r="X1" s="72"/>
      <c r="Y1" s="72"/>
      <c r="Z1" s="72"/>
      <c r="AA1" s="72"/>
      <c r="AB1" s="72"/>
      <c r="AC1" s="72"/>
      <c r="AD1" s="72"/>
      <c r="AE1" s="72"/>
      <c r="AF1" s="72"/>
      <c r="AG1" s="72"/>
      <c r="AH1" s="72"/>
      <c r="AI1" s="72"/>
      <c r="AJ1" s="72"/>
      <c r="AK1" s="72"/>
      <c r="AL1" s="72"/>
      <c r="AM1" s="72"/>
      <c r="AN1" s="72"/>
      <c r="AO1" s="72"/>
      <c r="AP1" s="72"/>
      <c r="AQ1" s="72"/>
      <c r="AR1" s="72"/>
      <c r="AS1" s="72"/>
      <c r="AT1" s="72"/>
      <c r="AU1" s="72"/>
      <c r="AV1" s="72"/>
      <c r="AW1" s="72"/>
      <c r="AX1" s="72"/>
      <c r="AY1" s="72"/>
      <c r="AZ1" s="72"/>
      <c r="BA1" s="72"/>
      <c r="BB1" s="72"/>
      <c r="BC1" s="72"/>
      <c r="BD1" s="72"/>
      <c r="BE1" s="72"/>
      <c r="BF1" s="72"/>
      <c r="BG1" s="72"/>
      <c r="BH1" s="72"/>
      <c r="BI1" s="72"/>
      <c r="BJ1" s="72"/>
      <c r="BK1" s="72"/>
      <c r="BL1" s="72"/>
      <c r="BM1" s="72"/>
      <c r="BN1" s="72"/>
      <c r="BO1" s="72"/>
      <c r="BP1" s="72"/>
      <c r="BQ1" s="72"/>
      <c r="BR1" s="72"/>
      <c r="BS1" s="72"/>
      <c r="BT1" s="72"/>
      <c r="BU1" s="72"/>
      <c r="BV1" s="72"/>
      <c r="BW1" s="72"/>
      <c r="BX1" s="72"/>
      <c r="BY1" s="72"/>
      <c r="BZ1" s="72"/>
      <c r="CA1" s="72"/>
      <c r="CB1" s="72"/>
      <c r="CC1" s="72"/>
      <c r="CD1" s="72"/>
      <c r="CE1" s="72"/>
    </row>
    <row r="2" spans="3:83" ht="9.75" customHeight="1">
      <c r="W2" s="92"/>
      <c r="X2" s="92"/>
      <c r="Y2" s="92"/>
      <c r="Z2" s="92"/>
      <c r="AA2" s="92"/>
      <c r="AB2" s="92"/>
      <c r="AC2" s="92"/>
      <c r="AD2" s="92"/>
      <c r="AE2" s="92"/>
      <c r="AF2" s="92"/>
      <c r="AG2" s="92"/>
      <c r="AH2" s="92"/>
      <c r="AI2" s="92"/>
      <c r="AJ2" s="92"/>
      <c r="AK2" s="92"/>
      <c r="AL2" s="92"/>
      <c r="AM2" s="92"/>
      <c r="AN2" s="92"/>
      <c r="AO2" s="72"/>
      <c r="AP2" s="72"/>
      <c r="AQ2" s="92"/>
      <c r="AR2" s="92"/>
      <c r="AS2" s="92"/>
      <c r="AT2" s="92"/>
      <c r="AU2" s="92"/>
      <c r="AV2" s="92"/>
      <c r="AW2" s="92"/>
      <c r="AX2" s="92"/>
      <c r="AY2" s="92"/>
      <c r="AZ2" s="92"/>
      <c r="BA2" s="92"/>
      <c r="BB2" s="92"/>
      <c r="BC2" s="92"/>
      <c r="BD2" s="92"/>
      <c r="BE2" s="92"/>
      <c r="BF2" s="92"/>
      <c r="BG2" s="92"/>
      <c r="BH2" s="92"/>
      <c r="BI2" s="72"/>
      <c r="BJ2" s="72"/>
      <c r="BK2" s="92"/>
      <c r="BL2" s="92"/>
      <c r="BM2" s="92"/>
      <c r="BN2" s="92"/>
      <c r="BO2" s="92"/>
      <c r="BP2" s="92"/>
      <c r="BQ2" s="92"/>
      <c r="BR2" s="92"/>
      <c r="BS2" s="92"/>
      <c r="BT2" s="92"/>
      <c r="BU2" s="92"/>
      <c r="BV2" s="92"/>
      <c r="BW2" s="92"/>
      <c r="BX2" s="92"/>
      <c r="BY2" s="92"/>
      <c r="BZ2" s="92"/>
      <c r="CA2" s="92"/>
      <c r="CB2" s="92"/>
      <c r="CC2" s="72"/>
      <c r="CD2" s="72"/>
      <c r="CE2" s="72"/>
    </row>
    <row r="3" spans="3:83" ht="9.75" customHeight="1">
      <c r="W3" s="92"/>
      <c r="X3" s="92"/>
      <c r="Y3" s="92"/>
      <c r="Z3" s="92"/>
      <c r="AA3" s="92"/>
      <c r="AB3" s="92"/>
      <c r="AC3" s="92"/>
      <c r="AD3" s="92"/>
      <c r="AE3" s="92"/>
      <c r="AF3" s="92"/>
      <c r="AG3" s="92"/>
      <c r="AH3" s="92"/>
      <c r="AI3" s="92"/>
      <c r="AJ3" s="92"/>
      <c r="AK3" s="92"/>
      <c r="AL3" s="92"/>
      <c r="AM3" s="92"/>
      <c r="AN3" s="92"/>
      <c r="AO3" s="72"/>
      <c r="AP3" s="72"/>
      <c r="AQ3" s="92"/>
      <c r="AR3" s="92"/>
      <c r="AS3" s="92"/>
      <c r="AT3" s="92"/>
      <c r="AU3" s="92"/>
      <c r="AV3" s="92"/>
      <c r="AW3" s="92"/>
      <c r="AX3" s="92"/>
      <c r="AY3" s="92"/>
      <c r="AZ3" s="92"/>
      <c r="BA3" s="92"/>
      <c r="BB3" s="92"/>
      <c r="BC3" s="92"/>
      <c r="BD3" s="92"/>
      <c r="BE3" s="92"/>
      <c r="BF3" s="92"/>
      <c r="BG3" s="92"/>
      <c r="BH3" s="92"/>
      <c r="BI3" s="72"/>
      <c r="BJ3" s="72"/>
      <c r="BK3" s="92"/>
      <c r="BL3" s="92"/>
      <c r="BM3" s="92"/>
      <c r="BN3" s="92"/>
      <c r="BO3" s="92"/>
      <c r="BP3" s="92"/>
      <c r="BQ3" s="92"/>
      <c r="BR3" s="92"/>
      <c r="BS3" s="92"/>
      <c r="BT3" s="92"/>
      <c r="BU3" s="92"/>
      <c r="BV3" s="92"/>
      <c r="BW3" s="92"/>
      <c r="BX3" s="92"/>
      <c r="BY3" s="92"/>
      <c r="BZ3" s="92"/>
      <c r="CA3" s="92"/>
      <c r="CB3" s="92"/>
      <c r="CC3" s="72"/>
      <c r="CD3" s="72"/>
      <c r="CE3" s="72"/>
    </row>
    <row r="4" spans="3:83" ht="9.75" customHeight="1">
      <c r="W4" s="93"/>
      <c r="X4" s="93"/>
      <c r="Y4" s="93"/>
      <c r="Z4" s="93"/>
      <c r="AA4" s="93"/>
      <c r="AB4" s="93"/>
      <c r="AC4" s="93"/>
      <c r="AD4" s="93"/>
      <c r="AE4" s="93"/>
      <c r="AF4" s="93"/>
      <c r="AG4" s="93"/>
      <c r="AH4" s="93"/>
      <c r="AI4" s="93"/>
      <c r="AJ4" s="93"/>
      <c r="AK4" s="93"/>
      <c r="AL4" s="93"/>
      <c r="AM4" s="93"/>
      <c r="AN4" s="93"/>
      <c r="AO4" s="72"/>
      <c r="AP4" s="72"/>
      <c r="AQ4" s="93"/>
      <c r="AR4" s="93"/>
      <c r="AS4" s="93"/>
      <c r="AT4" s="93"/>
      <c r="AU4" s="93"/>
      <c r="AV4" s="93"/>
      <c r="AW4" s="93"/>
      <c r="AX4" s="93"/>
      <c r="AY4" s="93"/>
      <c r="AZ4" s="93"/>
      <c r="BA4" s="93"/>
      <c r="BB4" s="93"/>
      <c r="BC4" s="93"/>
      <c r="BD4" s="93"/>
      <c r="BE4" s="93"/>
      <c r="BF4" s="93"/>
      <c r="BG4" s="93"/>
      <c r="BH4" s="93"/>
      <c r="BI4" s="72"/>
      <c r="BJ4" s="72"/>
      <c r="BK4" s="94"/>
      <c r="BL4" s="94"/>
      <c r="BM4" s="94"/>
      <c r="BN4" s="94"/>
      <c r="BO4" s="94"/>
      <c r="BP4" s="94"/>
      <c r="BQ4" s="94"/>
      <c r="BR4" s="94"/>
      <c r="BS4" s="94"/>
      <c r="BT4" s="94"/>
      <c r="BU4" s="94"/>
      <c r="BV4" s="94"/>
      <c r="BW4" s="94"/>
      <c r="BX4" s="94"/>
      <c r="BY4" s="94"/>
      <c r="BZ4" s="94"/>
      <c r="CA4" s="94"/>
      <c r="CB4" s="94"/>
      <c r="CC4" s="72"/>
      <c r="CD4" s="72"/>
      <c r="CE4" s="72"/>
    </row>
    <row r="5" spans="3:83" ht="9.75" customHeight="1">
      <c r="W5" s="93"/>
      <c r="X5" s="93"/>
      <c r="Y5" s="93"/>
      <c r="Z5" s="93"/>
      <c r="AA5" s="93"/>
      <c r="AB5" s="93"/>
      <c r="AC5" s="93"/>
      <c r="AD5" s="93"/>
      <c r="AE5" s="93"/>
      <c r="AF5" s="93"/>
      <c r="AG5" s="93"/>
      <c r="AH5" s="93"/>
      <c r="AI5" s="93"/>
      <c r="AJ5" s="93"/>
      <c r="AK5" s="93"/>
      <c r="AL5" s="93"/>
      <c r="AM5" s="93"/>
      <c r="AN5" s="93"/>
      <c r="AO5" s="72"/>
      <c r="AP5" s="72"/>
      <c r="AQ5" s="93"/>
      <c r="AR5" s="93"/>
      <c r="AS5" s="93"/>
      <c r="AT5" s="93"/>
      <c r="AU5" s="93"/>
      <c r="AV5" s="93"/>
      <c r="AW5" s="93"/>
      <c r="AX5" s="93"/>
      <c r="AY5" s="93"/>
      <c r="AZ5" s="93"/>
      <c r="BA5" s="93"/>
      <c r="BB5" s="93"/>
      <c r="BC5" s="93"/>
      <c r="BD5" s="93"/>
      <c r="BE5" s="93"/>
      <c r="BF5" s="93"/>
      <c r="BG5" s="93"/>
      <c r="BH5" s="93"/>
      <c r="BI5" s="72"/>
      <c r="BJ5" s="72"/>
      <c r="BK5" s="94"/>
      <c r="BL5" s="94"/>
      <c r="BM5" s="94"/>
      <c r="BN5" s="94"/>
      <c r="BO5" s="94"/>
      <c r="BP5" s="94"/>
      <c r="BQ5" s="94"/>
      <c r="BR5" s="94"/>
      <c r="BS5" s="94"/>
      <c r="BT5" s="94"/>
      <c r="BU5" s="94"/>
      <c r="BV5" s="94"/>
      <c r="BW5" s="94"/>
      <c r="BX5" s="94"/>
      <c r="BY5" s="94"/>
      <c r="BZ5" s="94"/>
      <c r="CA5" s="94"/>
      <c r="CB5" s="94"/>
      <c r="CC5" s="72"/>
      <c r="CD5" s="72"/>
      <c r="CE5" s="72"/>
    </row>
    <row r="6" spans="3:83" ht="9.75" customHeight="1">
      <c r="W6" s="93"/>
      <c r="X6" s="93"/>
      <c r="Y6" s="93"/>
      <c r="Z6" s="93"/>
      <c r="AA6" s="93"/>
      <c r="AB6" s="93"/>
      <c r="AC6" s="93"/>
      <c r="AD6" s="93"/>
      <c r="AE6" s="93"/>
      <c r="AF6" s="93"/>
      <c r="AG6" s="93"/>
      <c r="AH6" s="93"/>
      <c r="AI6" s="93"/>
      <c r="AJ6" s="93"/>
      <c r="AK6" s="93"/>
      <c r="AL6" s="93"/>
      <c r="AM6" s="93"/>
      <c r="AN6" s="93"/>
      <c r="AO6" s="72"/>
      <c r="AP6" s="72"/>
      <c r="AQ6" s="93"/>
      <c r="AR6" s="93"/>
      <c r="AS6" s="93"/>
      <c r="AT6" s="93"/>
      <c r="AU6" s="93"/>
      <c r="AV6" s="93"/>
      <c r="AW6" s="93"/>
      <c r="AX6" s="93"/>
      <c r="AY6" s="93"/>
      <c r="AZ6" s="93"/>
      <c r="BA6" s="93"/>
      <c r="BB6" s="93"/>
      <c r="BC6" s="93"/>
      <c r="BD6" s="93"/>
      <c r="BE6" s="93"/>
      <c r="BF6" s="93"/>
      <c r="BG6" s="93"/>
      <c r="BH6" s="93"/>
      <c r="BI6" s="72"/>
      <c r="BJ6" s="72"/>
      <c r="BK6" s="94"/>
      <c r="BL6" s="94"/>
      <c r="BM6" s="94"/>
      <c r="BN6" s="94"/>
      <c r="BO6" s="94"/>
      <c r="BP6" s="94"/>
      <c r="BQ6" s="94"/>
      <c r="BR6" s="94"/>
      <c r="BS6" s="94"/>
      <c r="BT6" s="94"/>
      <c r="BU6" s="94"/>
      <c r="BV6" s="94"/>
      <c r="BW6" s="94"/>
      <c r="BX6" s="94"/>
      <c r="BY6" s="94"/>
      <c r="BZ6" s="94"/>
      <c r="CA6" s="94"/>
      <c r="CB6" s="94"/>
      <c r="CC6" s="72"/>
      <c r="CD6" s="72"/>
      <c r="CE6" s="72"/>
    </row>
    <row r="7" spans="3:83" ht="9.75" customHeight="1">
      <c r="W7" s="93"/>
      <c r="X7" s="93"/>
      <c r="Y7" s="93"/>
      <c r="Z7" s="93"/>
      <c r="AA7" s="93"/>
      <c r="AB7" s="93"/>
      <c r="AC7" s="93"/>
      <c r="AD7" s="93"/>
      <c r="AE7" s="93"/>
      <c r="AF7" s="93"/>
      <c r="AG7" s="93"/>
      <c r="AH7" s="93"/>
      <c r="AI7" s="93"/>
      <c r="AJ7" s="93"/>
      <c r="AK7" s="93"/>
      <c r="AL7" s="93"/>
      <c r="AM7" s="93"/>
      <c r="AN7" s="93"/>
      <c r="AO7" s="72"/>
      <c r="AP7" s="72"/>
      <c r="AQ7" s="93"/>
      <c r="AR7" s="93"/>
      <c r="AS7" s="93"/>
      <c r="AT7" s="93"/>
      <c r="AU7" s="93"/>
      <c r="AV7" s="93"/>
      <c r="AW7" s="93"/>
      <c r="AX7" s="93"/>
      <c r="AY7" s="93"/>
      <c r="AZ7" s="93"/>
      <c r="BA7" s="93"/>
      <c r="BB7" s="93"/>
      <c r="BC7" s="93"/>
      <c r="BD7" s="93"/>
      <c r="BE7" s="93"/>
      <c r="BF7" s="93"/>
      <c r="BG7" s="93"/>
      <c r="BH7" s="93"/>
      <c r="BI7" s="72"/>
      <c r="BJ7" s="72"/>
      <c r="BK7" s="94"/>
      <c r="BL7" s="94"/>
      <c r="BM7" s="94"/>
      <c r="BN7" s="94"/>
      <c r="BO7" s="94"/>
      <c r="BP7" s="94"/>
      <c r="BQ7" s="94"/>
      <c r="BR7" s="94"/>
      <c r="BS7" s="94"/>
      <c r="BT7" s="94"/>
      <c r="BU7" s="94"/>
      <c r="BV7" s="94"/>
      <c r="BW7" s="94"/>
      <c r="BX7" s="94"/>
      <c r="BY7" s="94"/>
      <c r="BZ7" s="94"/>
      <c r="CA7" s="94"/>
      <c r="CB7" s="94"/>
      <c r="CC7" s="72"/>
      <c r="CD7" s="72"/>
      <c r="CE7" s="72"/>
    </row>
    <row r="8" spans="3:83" ht="9.75" customHeight="1" thickBot="1"/>
    <row r="9" spans="3:83" ht="9.75" customHeight="1">
      <c r="C9" s="77" t="s">
        <v>80</v>
      </c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8"/>
      <c r="BZ9" s="78"/>
      <c r="CA9" s="78"/>
      <c r="CB9" s="79"/>
    </row>
    <row r="10" spans="3:83" ht="9.75" customHeight="1" thickBot="1">
      <c r="C10" s="80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2"/>
    </row>
    <row r="11" spans="3:83" ht="9.75" customHeight="1">
      <c r="C11" s="83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5"/>
    </row>
    <row r="12" spans="3:83" ht="9.75" customHeight="1">
      <c r="C12" s="86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8"/>
    </row>
    <row r="13" spans="3:83" ht="9.75" customHeight="1">
      <c r="C13" s="86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8"/>
    </row>
    <row r="14" spans="3:83" ht="9.75" customHeight="1">
      <c r="C14" s="86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8"/>
    </row>
    <row r="15" spans="3:83" ht="9.75" customHeight="1">
      <c r="C15" s="86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7"/>
      <c r="AW15" s="87"/>
      <c r="AX15" s="87"/>
      <c r="AY15" s="87"/>
      <c r="AZ15" s="87"/>
      <c r="BA15" s="87"/>
      <c r="BB15" s="87"/>
      <c r="BC15" s="87"/>
      <c r="BD15" s="87"/>
      <c r="BE15" s="87"/>
      <c r="BF15" s="87"/>
      <c r="BG15" s="87"/>
      <c r="BH15" s="87"/>
      <c r="BI15" s="87"/>
      <c r="BJ15" s="87"/>
      <c r="BK15" s="87"/>
      <c r="BL15" s="87"/>
      <c r="BM15" s="87"/>
      <c r="BN15" s="87"/>
      <c r="BO15" s="87"/>
      <c r="BP15" s="87"/>
      <c r="BQ15" s="87"/>
      <c r="BR15" s="87"/>
      <c r="BS15" s="87"/>
      <c r="BT15" s="87"/>
      <c r="BU15" s="87"/>
      <c r="BV15" s="87"/>
      <c r="BW15" s="87"/>
      <c r="BX15" s="87"/>
      <c r="BY15" s="87"/>
      <c r="BZ15" s="87"/>
      <c r="CA15" s="87"/>
      <c r="CB15" s="88"/>
    </row>
    <row r="16" spans="3:83" ht="9.75" customHeight="1">
      <c r="C16" s="86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8"/>
    </row>
    <row r="17" spans="3:80" ht="9.75" customHeight="1">
      <c r="C17" s="86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8"/>
    </row>
    <row r="18" spans="3:80" ht="9.75" customHeight="1">
      <c r="C18" s="86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8"/>
    </row>
    <row r="19" spans="3:80" ht="9.75" customHeight="1">
      <c r="C19" s="86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  <c r="AX19" s="87"/>
      <c r="AY19" s="87"/>
      <c r="AZ19" s="87"/>
      <c r="BA19" s="87"/>
      <c r="BB19" s="87"/>
      <c r="BC19" s="87"/>
      <c r="BD19" s="87"/>
      <c r="BE19" s="87"/>
      <c r="BF19" s="87"/>
      <c r="BG19" s="87"/>
      <c r="BH19" s="87"/>
      <c r="BI19" s="87"/>
      <c r="BJ19" s="87"/>
      <c r="BK19" s="87"/>
      <c r="BL19" s="87"/>
      <c r="BM19" s="87"/>
      <c r="BN19" s="87"/>
      <c r="BO19" s="87"/>
      <c r="BP19" s="87"/>
      <c r="BQ19" s="87"/>
      <c r="BR19" s="87"/>
      <c r="BS19" s="87"/>
      <c r="BT19" s="87"/>
      <c r="BU19" s="87"/>
      <c r="BV19" s="87"/>
      <c r="BW19" s="87"/>
      <c r="BX19" s="87"/>
      <c r="BY19" s="87"/>
      <c r="BZ19" s="87"/>
      <c r="CA19" s="87"/>
      <c r="CB19" s="88"/>
    </row>
    <row r="20" spans="3:80" ht="9.75" customHeight="1">
      <c r="C20" s="86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87"/>
      <c r="BD20" s="87"/>
      <c r="BE20" s="87"/>
      <c r="BF20" s="87"/>
      <c r="BG20" s="87"/>
      <c r="BH20" s="87"/>
      <c r="BI20" s="87"/>
      <c r="BJ20" s="87"/>
      <c r="BK20" s="87"/>
      <c r="BL20" s="87"/>
      <c r="BM20" s="87"/>
      <c r="BN20" s="87"/>
      <c r="BO20" s="87"/>
      <c r="BP20" s="87"/>
      <c r="BQ20" s="87"/>
      <c r="BR20" s="87"/>
      <c r="BS20" s="87"/>
      <c r="BT20" s="87"/>
      <c r="BU20" s="87"/>
      <c r="BV20" s="87"/>
      <c r="BW20" s="87"/>
      <c r="BX20" s="87"/>
      <c r="BY20" s="87"/>
      <c r="BZ20" s="87"/>
      <c r="CA20" s="87"/>
      <c r="CB20" s="88"/>
    </row>
    <row r="21" spans="3:80" ht="9.75" customHeight="1">
      <c r="C21" s="86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8"/>
    </row>
    <row r="22" spans="3:80" ht="9.75" customHeight="1">
      <c r="C22" s="86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87"/>
      <c r="BD22" s="87"/>
      <c r="BE22" s="87"/>
      <c r="BF22" s="87"/>
      <c r="BG22" s="87"/>
      <c r="BH22" s="87"/>
      <c r="BI22" s="87"/>
      <c r="BJ22" s="87"/>
      <c r="BK22" s="87"/>
      <c r="BL22" s="87"/>
      <c r="BM22" s="87"/>
      <c r="BN22" s="87"/>
      <c r="BO22" s="87"/>
      <c r="BP22" s="87"/>
      <c r="BQ22" s="87"/>
      <c r="BR22" s="87"/>
      <c r="BS22" s="87"/>
      <c r="BT22" s="87"/>
      <c r="BU22" s="87"/>
      <c r="BV22" s="87"/>
      <c r="BW22" s="87"/>
      <c r="BX22" s="87"/>
      <c r="BY22" s="87"/>
      <c r="BZ22" s="87"/>
      <c r="CA22" s="87"/>
      <c r="CB22" s="88"/>
    </row>
    <row r="23" spans="3:80" ht="9.75" customHeight="1">
      <c r="C23" s="86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  <c r="BK23" s="87"/>
      <c r="BL23" s="87"/>
      <c r="BM23" s="87"/>
      <c r="BN23" s="87"/>
      <c r="BO23" s="87"/>
      <c r="BP23" s="87"/>
      <c r="BQ23" s="87"/>
      <c r="BR23" s="87"/>
      <c r="BS23" s="87"/>
      <c r="BT23" s="87"/>
      <c r="BU23" s="87"/>
      <c r="BV23" s="87"/>
      <c r="BW23" s="87"/>
      <c r="BX23" s="87"/>
      <c r="BY23" s="87"/>
      <c r="BZ23" s="87"/>
      <c r="CA23" s="87"/>
      <c r="CB23" s="88"/>
    </row>
    <row r="24" spans="3:80" ht="9.75" customHeight="1" thickBot="1">
      <c r="C24" s="89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1"/>
    </row>
    <row r="25" spans="3:80" ht="9.75" customHeight="1" thickBot="1"/>
    <row r="26" spans="3:80" ht="9.75" customHeight="1">
      <c r="C26" s="77" t="s">
        <v>81</v>
      </c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9"/>
      <c r="AO26" s="6"/>
      <c r="AP26" s="6"/>
      <c r="AQ26" s="77" t="s">
        <v>82</v>
      </c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78"/>
      <c r="BV26" s="78"/>
      <c r="BW26" s="78"/>
      <c r="BX26" s="78"/>
      <c r="BY26" s="78"/>
      <c r="BZ26" s="78"/>
      <c r="CA26" s="78"/>
      <c r="CB26" s="79"/>
    </row>
    <row r="27" spans="3:80" ht="9.75" customHeight="1" thickBot="1">
      <c r="C27" s="80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2"/>
      <c r="AO27" s="6"/>
      <c r="AP27" s="6"/>
      <c r="AQ27" s="80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2"/>
    </row>
    <row r="28" spans="3:80" ht="9.75" customHeight="1">
      <c r="C28" s="83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5"/>
      <c r="AQ28" s="83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84"/>
      <c r="CA28" s="84"/>
      <c r="CB28" s="85"/>
    </row>
    <row r="29" spans="3:80" ht="9.75" customHeight="1">
      <c r="C29" s="86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  <c r="AL29" s="87"/>
      <c r="AM29" s="87"/>
      <c r="AN29" s="88"/>
      <c r="AQ29" s="86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7"/>
      <c r="BD29" s="87"/>
      <c r="BE29" s="87"/>
      <c r="BF29" s="87"/>
      <c r="BG29" s="87"/>
      <c r="BH29" s="87"/>
      <c r="BI29" s="87"/>
      <c r="BJ29" s="87"/>
      <c r="BK29" s="87"/>
      <c r="BL29" s="87"/>
      <c r="BM29" s="87"/>
      <c r="BN29" s="87"/>
      <c r="BO29" s="87"/>
      <c r="BP29" s="87"/>
      <c r="BQ29" s="87"/>
      <c r="BR29" s="87"/>
      <c r="BS29" s="87"/>
      <c r="BT29" s="87"/>
      <c r="BU29" s="87"/>
      <c r="BV29" s="87"/>
      <c r="BW29" s="87"/>
      <c r="BX29" s="87"/>
      <c r="BY29" s="87"/>
      <c r="BZ29" s="87"/>
      <c r="CA29" s="87"/>
      <c r="CB29" s="88"/>
    </row>
    <row r="30" spans="3:80" ht="9.75" customHeight="1">
      <c r="C30" s="86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87"/>
      <c r="AN30" s="88"/>
      <c r="AQ30" s="86"/>
      <c r="AR30" s="87"/>
      <c r="AS30" s="87"/>
      <c r="AT30" s="87"/>
      <c r="AU30" s="87"/>
      <c r="AV30" s="87"/>
      <c r="AW30" s="87"/>
      <c r="AX30" s="87"/>
      <c r="AY30" s="87"/>
      <c r="AZ30" s="87"/>
      <c r="BA30" s="87"/>
      <c r="BB30" s="87"/>
      <c r="BC30" s="87"/>
      <c r="BD30" s="87"/>
      <c r="BE30" s="87"/>
      <c r="BF30" s="87"/>
      <c r="BG30" s="87"/>
      <c r="BH30" s="87"/>
      <c r="BI30" s="87"/>
      <c r="BJ30" s="87"/>
      <c r="BK30" s="87"/>
      <c r="BL30" s="87"/>
      <c r="BM30" s="87"/>
      <c r="BN30" s="87"/>
      <c r="BO30" s="87"/>
      <c r="BP30" s="87"/>
      <c r="BQ30" s="87"/>
      <c r="BR30" s="87"/>
      <c r="BS30" s="87"/>
      <c r="BT30" s="87"/>
      <c r="BU30" s="87"/>
      <c r="BV30" s="87"/>
      <c r="BW30" s="87"/>
      <c r="BX30" s="87"/>
      <c r="BY30" s="87"/>
      <c r="BZ30" s="87"/>
      <c r="CA30" s="87"/>
      <c r="CB30" s="88"/>
    </row>
    <row r="31" spans="3:80" ht="9.75" customHeight="1">
      <c r="C31" s="86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8"/>
      <c r="AQ31" s="86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  <c r="BG31" s="87"/>
      <c r="BH31" s="87"/>
      <c r="BI31" s="87"/>
      <c r="BJ31" s="87"/>
      <c r="BK31" s="87"/>
      <c r="BL31" s="87"/>
      <c r="BM31" s="87"/>
      <c r="BN31" s="87"/>
      <c r="BO31" s="87"/>
      <c r="BP31" s="87"/>
      <c r="BQ31" s="87"/>
      <c r="BR31" s="87"/>
      <c r="BS31" s="87"/>
      <c r="BT31" s="87"/>
      <c r="BU31" s="87"/>
      <c r="BV31" s="87"/>
      <c r="BW31" s="87"/>
      <c r="BX31" s="87"/>
      <c r="BY31" s="87"/>
      <c r="BZ31" s="87"/>
      <c r="CA31" s="87"/>
      <c r="CB31" s="88"/>
    </row>
    <row r="32" spans="3:80" ht="9.75" customHeight="1">
      <c r="C32" s="86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  <c r="AL32" s="87"/>
      <c r="AM32" s="87"/>
      <c r="AN32" s="88"/>
      <c r="AQ32" s="86"/>
      <c r="AR32" s="87"/>
      <c r="AS32" s="87"/>
      <c r="AT32" s="87"/>
      <c r="AU32" s="87"/>
      <c r="AV32" s="87"/>
      <c r="AW32" s="87"/>
      <c r="AX32" s="87"/>
      <c r="AY32" s="87"/>
      <c r="AZ32" s="87"/>
      <c r="BA32" s="87"/>
      <c r="BB32" s="87"/>
      <c r="BC32" s="87"/>
      <c r="BD32" s="87"/>
      <c r="BE32" s="87"/>
      <c r="BF32" s="87"/>
      <c r="BG32" s="87"/>
      <c r="BH32" s="87"/>
      <c r="BI32" s="87"/>
      <c r="BJ32" s="87"/>
      <c r="BK32" s="87"/>
      <c r="BL32" s="87"/>
      <c r="BM32" s="87"/>
      <c r="BN32" s="87"/>
      <c r="BO32" s="87"/>
      <c r="BP32" s="87"/>
      <c r="BQ32" s="87"/>
      <c r="BR32" s="87"/>
      <c r="BS32" s="87"/>
      <c r="BT32" s="87"/>
      <c r="BU32" s="87"/>
      <c r="BV32" s="87"/>
      <c r="BW32" s="87"/>
      <c r="BX32" s="87"/>
      <c r="BY32" s="87"/>
      <c r="BZ32" s="87"/>
      <c r="CA32" s="87"/>
      <c r="CB32" s="88"/>
    </row>
    <row r="33" spans="3:80" ht="9.75" customHeight="1">
      <c r="C33" s="86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  <c r="AL33" s="87"/>
      <c r="AM33" s="87"/>
      <c r="AN33" s="88"/>
      <c r="AQ33" s="86"/>
      <c r="AR33" s="87"/>
      <c r="AS33" s="87"/>
      <c r="AT33" s="87"/>
      <c r="AU33" s="87"/>
      <c r="AV33" s="87"/>
      <c r="AW33" s="87"/>
      <c r="AX33" s="87"/>
      <c r="AY33" s="87"/>
      <c r="AZ33" s="87"/>
      <c r="BA33" s="87"/>
      <c r="BB33" s="87"/>
      <c r="BC33" s="87"/>
      <c r="BD33" s="87"/>
      <c r="BE33" s="87"/>
      <c r="BF33" s="87"/>
      <c r="BG33" s="87"/>
      <c r="BH33" s="87"/>
      <c r="BI33" s="87"/>
      <c r="BJ33" s="87"/>
      <c r="BK33" s="87"/>
      <c r="BL33" s="87"/>
      <c r="BM33" s="87"/>
      <c r="BN33" s="87"/>
      <c r="BO33" s="87"/>
      <c r="BP33" s="87"/>
      <c r="BQ33" s="87"/>
      <c r="BR33" s="87"/>
      <c r="BS33" s="87"/>
      <c r="BT33" s="87"/>
      <c r="BU33" s="87"/>
      <c r="BV33" s="87"/>
      <c r="BW33" s="87"/>
      <c r="BX33" s="87"/>
      <c r="BY33" s="87"/>
      <c r="BZ33" s="87"/>
      <c r="CA33" s="87"/>
      <c r="CB33" s="88"/>
    </row>
    <row r="34" spans="3:80" ht="9.75" customHeight="1">
      <c r="C34" s="86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  <c r="AL34" s="87"/>
      <c r="AM34" s="87"/>
      <c r="AN34" s="88"/>
      <c r="AQ34" s="86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7"/>
      <c r="BD34" s="87"/>
      <c r="BE34" s="87"/>
      <c r="BF34" s="87"/>
      <c r="BG34" s="87"/>
      <c r="BH34" s="87"/>
      <c r="BI34" s="87"/>
      <c r="BJ34" s="87"/>
      <c r="BK34" s="87"/>
      <c r="BL34" s="87"/>
      <c r="BM34" s="87"/>
      <c r="BN34" s="87"/>
      <c r="BO34" s="87"/>
      <c r="BP34" s="87"/>
      <c r="BQ34" s="87"/>
      <c r="BR34" s="87"/>
      <c r="BS34" s="87"/>
      <c r="BT34" s="87"/>
      <c r="BU34" s="87"/>
      <c r="BV34" s="87"/>
      <c r="BW34" s="87"/>
      <c r="BX34" s="87"/>
      <c r="BY34" s="87"/>
      <c r="BZ34" s="87"/>
      <c r="CA34" s="87"/>
      <c r="CB34" s="88"/>
    </row>
    <row r="35" spans="3:80" ht="9.75" customHeight="1">
      <c r="C35" s="86"/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  <c r="AL35" s="87"/>
      <c r="AM35" s="87"/>
      <c r="AN35" s="88"/>
      <c r="AQ35" s="86"/>
      <c r="AR35" s="87"/>
      <c r="AS35" s="87"/>
      <c r="AT35" s="87"/>
      <c r="AU35" s="87"/>
      <c r="AV35" s="87"/>
      <c r="AW35" s="87"/>
      <c r="AX35" s="87"/>
      <c r="AY35" s="87"/>
      <c r="AZ35" s="87"/>
      <c r="BA35" s="87"/>
      <c r="BB35" s="87"/>
      <c r="BC35" s="87"/>
      <c r="BD35" s="87"/>
      <c r="BE35" s="87"/>
      <c r="BF35" s="87"/>
      <c r="BG35" s="87"/>
      <c r="BH35" s="87"/>
      <c r="BI35" s="87"/>
      <c r="BJ35" s="87"/>
      <c r="BK35" s="87"/>
      <c r="BL35" s="87"/>
      <c r="BM35" s="87"/>
      <c r="BN35" s="87"/>
      <c r="BO35" s="87"/>
      <c r="BP35" s="87"/>
      <c r="BQ35" s="87"/>
      <c r="BR35" s="87"/>
      <c r="BS35" s="87"/>
      <c r="BT35" s="87"/>
      <c r="BU35" s="87"/>
      <c r="BV35" s="87"/>
      <c r="BW35" s="87"/>
      <c r="BX35" s="87"/>
      <c r="BY35" s="87"/>
      <c r="BZ35" s="87"/>
      <c r="CA35" s="87"/>
      <c r="CB35" s="88"/>
    </row>
    <row r="36" spans="3:80" ht="9.75" customHeight="1">
      <c r="C36" s="86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  <c r="AL36" s="87"/>
      <c r="AM36" s="87"/>
      <c r="AN36" s="88"/>
      <c r="AQ36" s="86"/>
      <c r="AR36" s="87"/>
      <c r="AS36" s="87"/>
      <c r="AT36" s="87"/>
      <c r="AU36" s="87"/>
      <c r="AV36" s="87"/>
      <c r="AW36" s="87"/>
      <c r="AX36" s="87"/>
      <c r="AY36" s="87"/>
      <c r="AZ36" s="87"/>
      <c r="BA36" s="87"/>
      <c r="BB36" s="87"/>
      <c r="BC36" s="87"/>
      <c r="BD36" s="87"/>
      <c r="BE36" s="87"/>
      <c r="BF36" s="87"/>
      <c r="BG36" s="87"/>
      <c r="BH36" s="87"/>
      <c r="BI36" s="87"/>
      <c r="BJ36" s="87"/>
      <c r="BK36" s="87"/>
      <c r="BL36" s="87"/>
      <c r="BM36" s="87"/>
      <c r="BN36" s="87"/>
      <c r="BO36" s="87"/>
      <c r="BP36" s="87"/>
      <c r="BQ36" s="87"/>
      <c r="BR36" s="87"/>
      <c r="BS36" s="87"/>
      <c r="BT36" s="87"/>
      <c r="BU36" s="87"/>
      <c r="BV36" s="87"/>
      <c r="BW36" s="87"/>
      <c r="BX36" s="87"/>
      <c r="BY36" s="87"/>
      <c r="BZ36" s="87"/>
      <c r="CA36" s="87"/>
      <c r="CB36" s="88"/>
    </row>
    <row r="37" spans="3:80" ht="9.75" customHeight="1">
      <c r="C37" s="86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  <c r="AL37" s="87"/>
      <c r="AM37" s="87"/>
      <c r="AN37" s="88"/>
      <c r="AQ37" s="86"/>
      <c r="AR37" s="87"/>
      <c r="AS37" s="87"/>
      <c r="AT37" s="87"/>
      <c r="AU37" s="87"/>
      <c r="AV37" s="87"/>
      <c r="AW37" s="87"/>
      <c r="AX37" s="87"/>
      <c r="AY37" s="87"/>
      <c r="AZ37" s="87"/>
      <c r="BA37" s="87"/>
      <c r="BB37" s="87"/>
      <c r="BC37" s="87"/>
      <c r="BD37" s="87"/>
      <c r="BE37" s="87"/>
      <c r="BF37" s="87"/>
      <c r="BG37" s="87"/>
      <c r="BH37" s="87"/>
      <c r="BI37" s="87"/>
      <c r="BJ37" s="87"/>
      <c r="BK37" s="87"/>
      <c r="BL37" s="87"/>
      <c r="BM37" s="87"/>
      <c r="BN37" s="87"/>
      <c r="BO37" s="87"/>
      <c r="BP37" s="87"/>
      <c r="BQ37" s="87"/>
      <c r="BR37" s="87"/>
      <c r="BS37" s="87"/>
      <c r="BT37" s="87"/>
      <c r="BU37" s="87"/>
      <c r="BV37" s="87"/>
      <c r="BW37" s="87"/>
      <c r="BX37" s="87"/>
      <c r="BY37" s="87"/>
      <c r="BZ37" s="87"/>
      <c r="CA37" s="87"/>
      <c r="CB37" s="88"/>
    </row>
    <row r="38" spans="3:80" ht="9.75" customHeight="1">
      <c r="C38" s="86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  <c r="AL38" s="87"/>
      <c r="AM38" s="87"/>
      <c r="AN38" s="88"/>
      <c r="AQ38" s="86"/>
      <c r="AR38" s="87"/>
      <c r="AS38" s="87"/>
      <c r="AT38" s="87"/>
      <c r="AU38" s="87"/>
      <c r="AV38" s="87"/>
      <c r="AW38" s="87"/>
      <c r="AX38" s="87"/>
      <c r="AY38" s="87"/>
      <c r="AZ38" s="87"/>
      <c r="BA38" s="87"/>
      <c r="BB38" s="87"/>
      <c r="BC38" s="87"/>
      <c r="BD38" s="87"/>
      <c r="BE38" s="87"/>
      <c r="BF38" s="87"/>
      <c r="BG38" s="87"/>
      <c r="BH38" s="87"/>
      <c r="BI38" s="87"/>
      <c r="BJ38" s="87"/>
      <c r="BK38" s="87"/>
      <c r="BL38" s="87"/>
      <c r="BM38" s="87"/>
      <c r="BN38" s="87"/>
      <c r="BO38" s="87"/>
      <c r="BP38" s="87"/>
      <c r="BQ38" s="87"/>
      <c r="BR38" s="87"/>
      <c r="BS38" s="87"/>
      <c r="BT38" s="87"/>
      <c r="BU38" s="87"/>
      <c r="BV38" s="87"/>
      <c r="BW38" s="87"/>
      <c r="BX38" s="87"/>
      <c r="BY38" s="87"/>
      <c r="BZ38" s="87"/>
      <c r="CA38" s="87"/>
      <c r="CB38" s="88"/>
    </row>
    <row r="39" spans="3:80" ht="9.75" customHeight="1">
      <c r="C39" s="86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8"/>
      <c r="AQ39" s="86"/>
      <c r="AR39" s="87"/>
      <c r="AS39" s="87"/>
      <c r="AT39" s="87"/>
      <c r="AU39" s="87"/>
      <c r="AV39" s="87"/>
      <c r="AW39" s="87"/>
      <c r="AX39" s="87"/>
      <c r="AY39" s="87"/>
      <c r="AZ39" s="87"/>
      <c r="BA39" s="87"/>
      <c r="BB39" s="87"/>
      <c r="BC39" s="87"/>
      <c r="BD39" s="87"/>
      <c r="BE39" s="87"/>
      <c r="BF39" s="87"/>
      <c r="BG39" s="87"/>
      <c r="BH39" s="87"/>
      <c r="BI39" s="87"/>
      <c r="BJ39" s="87"/>
      <c r="BK39" s="87"/>
      <c r="BL39" s="87"/>
      <c r="BM39" s="87"/>
      <c r="BN39" s="87"/>
      <c r="BO39" s="87"/>
      <c r="BP39" s="87"/>
      <c r="BQ39" s="87"/>
      <c r="BR39" s="87"/>
      <c r="BS39" s="87"/>
      <c r="BT39" s="87"/>
      <c r="BU39" s="87"/>
      <c r="BV39" s="87"/>
      <c r="BW39" s="87"/>
      <c r="BX39" s="87"/>
      <c r="BY39" s="87"/>
      <c r="BZ39" s="87"/>
      <c r="CA39" s="87"/>
      <c r="CB39" s="88"/>
    </row>
    <row r="40" spans="3:80" ht="9.75" customHeight="1">
      <c r="C40" s="86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7"/>
      <c r="AM40" s="87"/>
      <c r="AN40" s="88"/>
      <c r="AQ40" s="86"/>
      <c r="AR40" s="87"/>
      <c r="AS40" s="87"/>
      <c r="AT40" s="87"/>
      <c r="AU40" s="87"/>
      <c r="AV40" s="87"/>
      <c r="AW40" s="87"/>
      <c r="AX40" s="87"/>
      <c r="AY40" s="87"/>
      <c r="AZ40" s="87"/>
      <c r="BA40" s="87"/>
      <c r="BB40" s="87"/>
      <c r="BC40" s="87"/>
      <c r="BD40" s="87"/>
      <c r="BE40" s="87"/>
      <c r="BF40" s="87"/>
      <c r="BG40" s="87"/>
      <c r="BH40" s="87"/>
      <c r="BI40" s="87"/>
      <c r="BJ40" s="87"/>
      <c r="BK40" s="87"/>
      <c r="BL40" s="87"/>
      <c r="BM40" s="87"/>
      <c r="BN40" s="87"/>
      <c r="BO40" s="87"/>
      <c r="BP40" s="87"/>
      <c r="BQ40" s="87"/>
      <c r="BR40" s="87"/>
      <c r="BS40" s="87"/>
      <c r="BT40" s="87"/>
      <c r="BU40" s="87"/>
      <c r="BV40" s="87"/>
      <c r="BW40" s="87"/>
      <c r="BX40" s="87"/>
      <c r="BY40" s="87"/>
      <c r="BZ40" s="87"/>
      <c r="CA40" s="87"/>
      <c r="CB40" s="88"/>
    </row>
    <row r="41" spans="3:80" ht="9.75" customHeight="1">
      <c r="C41" s="86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8"/>
      <c r="AQ41" s="86"/>
      <c r="AR41" s="87"/>
      <c r="AS41" s="87"/>
      <c r="AT41" s="87"/>
      <c r="AU41" s="87"/>
      <c r="AV41" s="87"/>
      <c r="AW41" s="87"/>
      <c r="AX41" s="87"/>
      <c r="AY41" s="87"/>
      <c r="AZ41" s="87"/>
      <c r="BA41" s="87"/>
      <c r="BB41" s="87"/>
      <c r="BC41" s="87"/>
      <c r="BD41" s="87"/>
      <c r="BE41" s="87"/>
      <c r="BF41" s="87"/>
      <c r="BG41" s="87"/>
      <c r="BH41" s="87"/>
      <c r="BI41" s="87"/>
      <c r="BJ41" s="87"/>
      <c r="BK41" s="87"/>
      <c r="BL41" s="87"/>
      <c r="BM41" s="87"/>
      <c r="BN41" s="87"/>
      <c r="BO41" s="87"/>
      <c r="BP41" s="87"/>
      <c r="BQ41" s="87"/>
      <c r="BR41" s="87"/>
      <c r="BS41" s="87"/>
      <c r="BT41" s="87"/>
      <c r="BU41" s="87"/>
      <c r="BV41" s="87"/>
      <c r="BW41" s="87"/>
      <c r="BX41" s="87"/>
      <c r="BY41" s="87"/>
      <c r="BZ41" s="87"/>
      <c r="CA41" s="87"/>
      <c r="CB41" s="88"/>
    </row>
    <row r="42" spans="3:80" ht="9.75" customHeight="1">
      <c r="C42" s="86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  <c r="AL42" s="87"/>
      <c r="AM42" s="87"/>
      <c r="AN42" s="88"/>
      <c r="AQ42" s="86"/>
      <c r="AR42" s="87"/>
      <c r="AS42" s="87"/>
      <c r="AT42" s="87"/>
      <c r="AU42" s="87"/>
      <c r="AV42" s="87"/>
      <c r="AW42" s="87"/>
      <c r="AX42" s="87"/>
      <c r="AY42" s="87"/>
      <c r="AZ42" s="87"/>
      <c r="BA42" s="87"/>
      <c r="BB42" s="87"/>
      <c r="BC42" s="87"/>
      <c r="BD42" s="87"/>
      <c r="BE42" s="87"/>
      <c r="BF42" s="87"/>
      <c r="BG42" s="87"/>
      <c r="BH42" s="87"/>
      <c r="BI42" s="87"/>
      <c r="BJ42" s="87"/>
      <c r="BK42" s="87"/>
      <c r="BL42" s="87"/>
      <c r="BM42" s="87"/>
      <c r="BN42" s="87"/>
      <c r="BO42" s="87"/>
      <c r="BP42" s="87"/>
      <c r="BQ42" s="87"/>
      <c r="BR42" s="87"/>
      <c r="BS42" s="87"/>
      <c r="BT42" s="87"/>
      <c r="BU42" s="87"/>
      <c r="BV42" s="87"/>
      <c r="BW42" s="87"/>
      <c r="BX42" s="87"/>
      <c r="BY42" s="87"/>
      <c r="BZ42" s="87"/>
      <c r="CA42" s="87"/>
      <c r="CB42" s="88"/>
    </row>
    <row r="43" spans="3:80" ht="9.75" customHeight="1">
      <c r="C43" s="86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  <c r="AL43" s="87"/>
      <c r="AM43" s="87"/>
      <c r="AN43" s="88"/>
      <c r="AQ43" s="86"/>
      <c r="AR43" s="87"/>
      <c r="AS43" s="87"/>
      <c r="AT43" s="87"/>
      <c r="AU43" s="87"/>
      <c r="AV43" s="87"/>
      <c r="AW43" s="87"/>
      <c r="AX43" s="87"/>
      <c r="AY43" s="87"/>
      <c r="AZ43" s="87"/>
      <c r="BA43" s="87"/>
      <c r="BB43" s="87"/>
      <c r="BC43" s="87"/>
      <c r="BD43" s="87"/>
      <c r="BE43" s="87"/>
      <c r="BF43" s="87"/>
      <c r="BG43" s="87"/>
      <c r="BH43" s="87"/>
      <c r="BI43" s="87"/>
      <c r="BJ43" s="87"/>
      <c r="BK43" s="87"/>
      <c r="BL43" s="87"/>
      <c r="BM43" s="87"/>
      <c r="BN43" s="87"/>
      <c r="BO43" s="87"/>
      <c r="BP43" s="87"/>
      <c r="BQ43" s="87"/>
      <c r="BR43" s="87"/>
      <c r="BS43" s="87"/>
      <c r="BT43" s="87"/>
      <c r="BU43" s="87"/>
      <c r="BV43" s="87"/>
      <c r="BW43" s="87"/>
      <c r="BX43" s="87"/>
      <c r="BY43" s="87"/>
      <c r="BZ43" s="87"/>
      <c r="CA43" s="87"/>
      <c r="CB43" s="88"/>
    </row>
    <row r="44" spans="3:80" ht="9.75" customHeight="1">
      <c r="C44" s="86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  <c r="AL44" s="87"/>
      <c r="AM44" s="87"/>
      <c r="AN44" s="88"/>
      <c r="AQ44" s="86"/>
      <c r="AR44" s="87"/>
      <c r="AS44" s="87"/>
      <c r="AT44" s="87"/>
      <c r="AU44" s="87"/>
      <c r="AV44" s="87"/>
      <c r="AW44" s="87"/>
      <c r="AX44" s="87"/>
      <c r="AY44" s="87"/>
      <c r="AZ44" s="87"/>
      <c r="BA44" s="87"/>
      <c r="BB44" s="87"/>
      <c r="BC44" s="87"/>
      <c r="BD44" s="87"/>
      <c r="BE44" s="87"/>
      <c r="BF44" s="87"/>
      <c r="BG44" s="87"/>
      <c r="BH44" s="87"/>
      <c r="BI44" s="87"/>
      <c r="BJ44" s="87"/>
      <c r="BK44" s="87"/>
      <c r="BL44" s="87"/>
      <c r="BM44" s="87"/>
      <c r="BN44" s="87"/>
      <c r="BO44" s="87"/>
      <c r="BP44" s="87"/>
      <c r="BQ44" s="87"/>
      <c r="BR44" s="87"/>
      <c r="BS44" s="87"/>
      <c r="BT44" s="87"/>
      <c r="BU44" s="87"/>
      <c r="BV44" s="87"/>
      <c r="BW44" s="87"/>
      <c r="BX44" s="87"/>
      <c r="BY44" s="87"/>
      <c r="BZ44" s="87"/>
      <c r="CA44" s="87"/>
      <c r="CB44" s="88"/>
    </row>
    <row r="45" spans="3:80" ht="9.75" customHeight="1">
      <c r="C45" s="86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  <c r="AL45" s="87"/>
      <c r="AM45" s="87"/>
      <c r="AN45" s="88"/>
      <c r="AQ45" s="86"/>
      <c r="AR45" s="87"/>
      <c r="AS45" s="87"/>
      <c r="AT45" s="87"/>
      <c r="AU45" s="87"/>
      <c r="AV45" s="87"/>
      <c r="AW45" s="87"/>
      <c r="AX45" s="87"/>
      <c r="AY45" s="87"/>
      <c r="AZ45" s="87"/>
      <c r="BA45" s="87"/>
      <c r="BB45" s="87"/>
      <c r="BC45" s="87"/>
      <c r="BD45" s="87"/>
      <c r="BE45" s="87"/>
      <c r="BF45" s="87"/>
      <c r="BG45" s="87"/>
      <c r="BH45" s="87"/>
      <c r="BI45" s="87"/>
      <c r="BJ45" s="87"/>
      <c r="BK45" s="87"/>
      <c r="BL45" s="87"/>
      <c r="BM45" s="87"/>
      <c r="BN45" s="87"/>
      <c r="BO45" s="87"/>
      <c r="BP45" s="87"/>
      <c r="BQ45" s="87"/>
      <c r="BR45" s="87"/>
      <c r="BS45" s="87"/>
      <c r="BT45" s="87"/>
      <c r="BU45" s="87"/>
      <c r="BV45" s="87"/>
      <c r="BW45" s="87"/>
      <c r="BX45" s="87"/>
      <c r="BY45" s="87"/>
      <c r="BZ45" s="87"/>
      <c r="CA45" s="87"/>
      <c r="CB45" s="88"/>
    </row>
    <row r="46" spans="3:80" ht="9.75" customHeight="1" thickBot="1">
      <c r="C46" s="89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90"/>
      <c r="AH46" s="90"/>
      <c r="AI46" s="90"/>
      <c r="AJ46" s="90"/>
      <c r="AK46" s="90"/>
      <c r="AL46" s="90"/>
      <c r="AM46" s="90"/>
      <c r="AN46" s="91"/>
      <c r="AQ46" s="89"/>
      <c r="AR46" s="90"/>
      <c r="AS46" s="90"/>
      <c r="AT46" s="90"/>
      <c r="AU46" s="90"/>
      <c r="AV46" s="90"/>
      <c r="AW46" s="90"/>
      <c r="AX46" s="90"/>
      <c r="AY46" s="90"/>
      <c r="AZ46" s="90"/>
      <c r="BA46" s="90"/>
      <c r="BB46" s="90"/>
      <c r="BC46" s="90"/>
      <c r="BD46" s="90"/>
      <c r="BE46" s="90"/>
      <c r="BF46" s="90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1"/>
    </row>
  </sheetData>
  <mergeCells count="12">
    <mergeCell ref="W2:AN3"/>
    <mergeCell ref="AQ2:BH3"/>
    <mergeCell ref="BK2:CB3"/>
    <mergeCell ref="W4:AN7"/>
    <mergeCell ref="AQ4:BH7"/>
    <mergeCell ref="BK4:CB7"/>
    <mergeCell ref="C9:CB10"/>
    <mergeCell ref="C11:CB24"/>
    <mergeCell ref="C26:AN27"/>
    <mergeCell ref="AQ26:CB27"/>
    <mergeCell ref="C28:AN46"/>
    <mergeCell ref="AQ28:CB46"/>
  </mergeCells>
  <pageMargins left="0.511811024" right="0.511811024" top="0.78740157499999996" bottom="0.78740157499999996" header="0.31496062000000002" footer="0.31496062000000002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1265" r:id="rId3" name="Button 1">
              <controlPr defaultSize="0" print="0" autoFill="0" autoPict="0" macro="[0]!Atualiza_Consulta_hist02">
                <anchor moveWithCells="1" sizeWithCells="1">
                  <from>
                    <xdr:col>81</xdr:col>
                    <xdr:colOff>0</xdr:colOff>
                    <xdr:row>5</xdr:row>
                    <xdr:rowOff>0</xdr:rowOff>
                  </from>
                  <to>
                    <xdr:col>85</xdr:col>
                    <xdr:colOff>0</xdr:colOff>
                    <xdr:row>8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1268" r:id="rId4" name="Button 4">
              <controlPr defaultSize="0" print="0" autoFill="0" autoPict="0" macro="[0]!Atualizar_Tudo">
                <anchor moveWithCells="1" sizeWithCells="1">
                  <from>
                    <xdr:col>81</xdr:col>
                    <xdr:colOff>45720</xdr:colOff>
                    <xdr:row>11</xdr:row>
                    <xdr:rowOff>68580</xdr:rowOff>
                  </from>
                  <to>
                    <xdr:col>89</xdr:col>
                    <xdr:colOff>22860</xdr:colOff>
                    <xdr:row>14</xdr:row>
                    <xdr:rowOff>53340</xdr:rowOff>
                  </to>
                </anchor>
              </controlPr>
            </control>
          </mc:Choice>
        </mc:AlternateContent>
      </controls>
    </mc:Choice>
  </mc:AlternateContent>
  <extLst>
    <ext xmlns:x15="http://schemas.microsoft.com/office/spreadsheetml/2010/11/main" uri="{7E03D99C-DC04-49d9-9315-930204A7B6E9}">
      <x15:timelineRefs>
        <x15:timelineRef r:id="rId5"/>
      </x15:timelineRefs>
    </ext>
  </extLst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D066AFB-3F48-47D7-9498-011A1BD0AB45}">
  <sheetPr codeName="Planilha16"/>
  <dimension ref="C1:CB46"/>
  <sheetViews>
    <sheetView showGridLines="0" showRowColHeaders="0" zoomScale="39" zoomScaleNormal="39" workbookViewId="0">
      <selection activeCell="CM59" sqref="A2:CM59"/>
    </sheetView>
  </sheetViews>
  <sheetFormatPr defaultColWidth="2" defaultRowHeight="9.75" customHeight="1"/>
  <cols>
    <col min="1" max="16384" width="2" style="5"/>
  </cols>
  <sheetData>
    <row r="1" spans="3:80" ht="9.75" customHeight="1" thickBot="1"/>
    <row r="2" spans="3:80" ht="9.75" customHeight="1">
      <c r="W2" s="77" t="s">
        <v>77</v>
      </c>
      <c r="X2" s="78"/>
      <c r="Y2" s="78"/>
      <c r="Z2" s="78"/>
      <c r="AA2" s="78"/>
      <c r="AB2" s="78"/>
      <c r="AC2" s="78"/>
      <c r="AD2" s="78"/>
      <c r="AE2" s="78"/>
      <c r="AF2" s="78"/>
      <c r="AG2" s="78"/>
      <c r="AH2" s="78"/>
      <c r="AI2" s="78"/>
      <c r="AJ2" s="78"/>
      <c r="AK2" s="78"/>
      <c r="AL2" s="78"/>
      <c r="AM2" s="78"/>
      <c r="AN2" s="79"/>
      <c r="AQ2" s="77" t="s">
        <v>78</v>
      </c>
      <c r="AR2" s="78"/>
      <c r="AS2" s="78"/>
      <c r="AT2" s="78"/>
      <c r="AU2" s="78"/>
      <c r="AV2" s="78"/>
      <c r="AW2" s="78"/>
      <c r="AX2" s="78"/>
      <c r="AY2" s="78"/>
      <c r="AZ2" s="78"/>
      <c r="BA2" s="78"/>
      <c r="BB2" s="78"/>
      <c r="BC2" s="78"/>
      <c r="BD2" s="78"/>
      <c r="BE2" s="78"/>
      <c r="BF2" s="78"/>
      <c r="BG2" s="78"/>
      <c r="BH2" s="79"/>
      <c r="BK2" s="77" t="s">
        <v>79</v>
      </c>
      <c r="BL2" s="78"/>
      <c r="BM2" s="78"/>
      <c r="BN2" s="78"/>
      <c r="BO2" s="78"/>
      <c r="BP2" s="78"/>
      <c r="BQ2" s="78"/>
      <c r="BR2" s="78"/>
      <c r="BS2" s="78"/>
      <c r="BT2" s="78"/>
      <c r="BU2" s="78"/>
      <c r="BV2" s="78"/>
      <c r="BW2" s="78"/>
      <c r="BX2" s="78"/>
      <c r="BY2" s="78"/>
      <c r="BZ2" s="78"/>
      <c r="CA2" s="78"/>
      <c r="CB2" s="79"/>
    </row>
    <row r="3" spans="3:80" ht="9.75" customHeight="1" thickBot="1">
      <c r="W3" s="80"/>
      <c r="X3" s="81"/>
      <c r="Y3" s="81"/>
      <c r="Z3" s="81"/>
      <c r="AA3" s="81"/>
      <c r="AB3" s="81"/>
      <c r="AC3" s="81"/>
      <c r="AD3" s="81"/>
      <c r="AE3" s="81"/>
      <c r="AF3" s="81"/>
      <c r="AG3" s="81"/>
      <c r="AH3" s="81"/>
      <c r="AI3" s="81"/>
      <c r="AJ3" s="81"/>
      <c r="AK3" s="81"/>
      <c r="AL3" s="81"/>
      <c r="AM3" s="81"/>
      <c r="AN3" s="82"/>
      <c r="AQ3" s="80"/>
      <c r="AR3" s="81"/>
      <c r="AS3" s="81"/>
      <c r="AT3" s="81"/>
      <c r="AU3" s="81"/>
      <c r="AV3" s="81"/>
      <c r="AW3" s="81"/>
      <c r="AX3" s="81"/>
      <c r="AY3" s="81"/>
      <c r="AZ3" s="81"/>
      <c r="BA3" s="81"/>
      <c r="BB3" s="81"/>
      <c r="BC3" s="81"/>
      <c r="BD3" s="81"/>
      <c r="BE3" s="81"/>
      <c r="BF3" s="81"/>
      <c r="BG3" s="81"/>
      <c r="BH3" s="82"/>
      <c r="BK3" s="80"/>
      <c r="BL3" s="81"/>
      <c r="BM3" s="81"/>
      <c r="BN3" s="81"/>
      <c r="BO3" s="81"/>
      <c r="BP3" s="81"/>
      <c r="BQ3" s="81"/>
      <c r="BR3" s="81"/>
      <c r="BS3" s="81"/>
      <c r="BT3" s="81"/>
      <c r="BU3" s="81"/>
      <c r="BV3" s="81"/>
      <c r="BW3" s="81"/>
      <c r="BX3" s="81"/>
      <c r="BY3" s="81"/>
      <c r="BZ3" s="81"/>
      <c r="CA3" s="81"/>
      <c r="CB3" s="82"/>
    </row>
    <row r="4" spans="3:80" ht="9.75" customHeight="1">
      <c r="W4" s="95">
        <f>COUNT(TB_Produtos[Estoque])</f>
        <v>60</v>
      </c>
      <c r="X4" s="96"/>
      <c r="Y4" s="96"/>
      <c r="Z4" s="96"/>
      <c r="AA4" s="96"/>
      <c r="AB4" s="96"/>
      <c r="AC4" s="96"/>
      <c r="AD4" s="96"/>
      <c r="AE4" s="96"/>
      <c r="AF4" s="96"/>
      <c r="AG4" s="96"/>
      <c r="AH4" s="96"/>
      <c r="AI4" s="96"/>
      <c r="AJ4" s="96"/>
      <c r="AK4" s="96"/>
      <c r="AL4" s="96"/>
      <c r="AM4" s="96"/>
      <c r="AN4" s="97"/>
      <c r="AQ4" s="95">
        <f>GETPIVOTDATA("[Measures].[Soma de Qtd]",DN_Vendas!$A$3)</f>
        <v>250</v>
      </c>
      <c r="AR4" s="96"/>
      <c r="AS4" s="96"/>
      <c r="AT4" s="96"/>
      <c r="AU4" s="96"/>
      <c r="AV4" s="96"/>
      <c r="AW4" s="96"/>
      <c r="AX4" s="96"/>
      <c r="AY4" s="96"/>
      <c r="AZ4" s="96"/>
      <c r="BA4" s="96"/>
      <c r="BB4" s="96"/>
      <c r="BC4" s="96"/>
      <c r="BD4" s="96"/>
      <c r="BE4" s="96"/>
      <c r="BF4" s="96"/>
      <c r="BG4" s="96"/>
      <c r="BH4" s="97"/>
      <c r="BK4" s="104">
        <f>GETPIVOTDATA("[Measures].[Soma de Total]",DN_Vendas!$A$3)</f>
        <v>33304.799999999988</v>
      </c>
      <c r="BL4" s="105"/>
      <c r="BM4" s="105"/>
      <c r="BN4" s="105"/>
      <c r="BO4" s="105"/>
      <c r="BP4" s="105"/>
      <c r="BQ4" s="105"/>
      <c r="BR4" s="105"/>
      <c r="BS4" s="105"/>
      <c r="BT4" s="105"/>
      <c r="BU4" s="105"/>
      <c r="BV4" s="105"/>
      <c r="BW4" s="105"/>
      <c r="BX4" s="105"/>
      <c r="BY4" s="105"/>
      <c r="BZ4" s="105"/>
      <c r="CA4" s="105"/>
      <c r="CB4" s="106"/>
    </row>
    <row r="5" spans="3:80" ht="9.75" customHeight="1">
      <c r="W5" s="98"/>
      <c r="X5" s="99"/>
      <c r="Y5" s="99"/>
      <c r="Z5" s="99"/>
      <c r="AA5" s="99"/>
      <c r="AB5" s="99"/>
      <c r="AC5" s="99"/>
      <c r="AD5" s="99"/>
      <c r="AE5" s="99"/>
      <c r="AF5" s="99"/>
      <c r="AG5" s="99"/>
      <c r="AH5" s="99"/>
      <c r="AI5" s="99"/>
      <c r="AJ5" s="99"/>
      <c r="AK5" s="99"/>
      <c r="AL5" s="99"/>
      <c r="AM5" s="99"/>
      <c r="AN5" s="100"/>
      <c r="AQ5" s="98"/>
      <c r="AR5" s="99"/>
      <c r="AS5" s="99"/>
      <c r="AT5" s="99"/>
      <c r="AU5" s="99"/>
      <c r="AV5" s="99"/>
      <c r="AW5" s="99"/>
      <c r="AX5" s="99"/>
      <c r="AY5" s="99"/>
      <c r="AZ5" s="99"/>
      <c r="BA5" s="99"/>
      <c r="BB5" s="99"/>
      <c r="BC5" s="99"/>
      <c r="BD5" s="99"/>
      <c r="BE5" s="99"/>
      <c r="BF5" s="99"/>
      <c r="BG5" s="99"/>
      <c r="BH5" s="100"/>
      <c r="BK5" s="107"/>
      <c r="BL5" s="108"/>
      <c r="BM5" s="108"/>
      <c r="BN5" s="108"/>
      <c r="BO5" s="108"/>
      <c r="BP5" s="108"/>
      <c r="BQ5" s="108"/>
      <c r="BR5" s="108"/>
      <c r="BS5" s="108"/>
      <c r="BT5" s="108"/>
      <c r="BU5" s="108"/>
      <c r="BV5" s="108"/>
      <c r="BW5" s="108"/>
      <c r="BX5" s="108"/>
      <c r="BY5" s="108"/>
      <c r="BZ5" s="108"/>
      <c r="CA5" s="108"/>
      <c r="CB5" s="109"/>
    </row>
    <row r="6" spans="3:80" ht="9.75" customHeight="1">
      <c r="W6" s="98"/>
      <c r="X6" s="99"/>
      <c r="Y6" s="99"/>
      <c r="Z6" s="99"/>
      <c r="AA6" s="99"/>
      <c r="AB6" s="99"/>
      <c r="AC6" s="99"/>
      <c r="AD6" s="99"/>
      <c r="AE6" s="99"/>
      <c r="AF6" s="99"/>
      <c r="AG6" s="99"/>
      <c r="AH6" s="99"/>
      <c r="AI6" s="99"/>
      <c r="AJ6" s="99"/>
      <c r="AK6" s="99"/>
      <c r="AL6" s="99"/>
      <c r="AM6" s="99"/>
      <c r="AN6" s="100"/>
      <c r="AQ6" s="98"/>
      <c r="AR6" s="99"/>
      <c r="AS6" s="99"/>
      <c r="AT6" s="99"/>
      <c r="AU6" s="99"/>
      <c r="AV6" s="99"/>
      <c r="AW6" s="99"/>
      <c r="AX6" s="99"/>
      <c r="AY6" s="99"/>
      <c r="AZ6" s="99"/>
      <c r="BA6" s="99"/>
      <c r="BB6" s="99"/>
      <c r="BC6" s="99"/>
      <c r="BD6" s="99"/>
      <c r="BE6" s="99"/>
      <c r="BF6" s="99"/>
      <c r="BG6" s="99"/>
      <c r="BH6" s="100"/>
      <c r="BK6" s="107"/>
      <c r="BL6" s="108"/>
      <c r="BM6" s="108"/>
      <c r="BN6" s="108"/>
      <c r="BO6" s="108"/>
      <c r="BP6" s="108"/>
      <c r="BQ6" s="108"/>
      <c r="BR6" s="108"/>
      <c r="BS6" s="108"/>
      <c r="BT6" s="108"/>
      <c r="BU6" s="108"/>
      <c r="BV6" s="108"/>
      <c r="BW6" s="108"/>
      <c r="BX6" s="108"/>
      <c r="BY6" s="108"/>
      <c r="BZ6" s="108"/>
      <c r="CA6" s="108"/>
      <c r="CB6" s="109"/>
    </row>
    <row r="7" spans="3:80" ht="9.75" customHeight="1" thickBot="1">
      <c r="W7" s="101"/>
      <c r="X7" s="102"/>
      <c r="Y7" s="102"/>
      <c r="Z7" s="102"/>
      <c r="AA7" s="102"/>
      <c r="AB7" s="102"/>
      <c r="AC7" s="102"/>
      <c r="AD7" s="102"/>
      <c r="AE7" s="102"/>
      <c r="AF7" s="102"/>
      <c r="AG7" s="102"/>
      <c r="AH7" s="102"/>
      <c r="AI7" s="102"/>
      <c r="AJ7" s="102"/>
      <c r="AK7" s="102"/>
      <c r="AL7" s="102"/>
      <c r="AM7" s="102"/>
      <c r="AN7" s="103"/>
      <c r="AQ7" s="101"/>
      <c r="AR7" s="102"/>
      <c r="AS7" s="102"/>
      <c r="AT7" s="102"/>
      <c r="AU7" s="102"/>
      <c r="AV7" s="102"/>
      <c r="AW7" s="102"/>
      <c r="AX7" s="102"/>
      <c r="AY7" s="102"/>
      <c r="AZ7" s="102"/>
      <c r="BA7" s="102"/>
      <c r="BB7" s="102"/>
      <c r="BC7" s="102"/>
      <c r="BD7" s="102"/>
      <c r="BE7" s="102"/>
      <c r="BF7" s="102"/>
      <c r="BG7" s="102"/>
      <c r="BH7" s="103"/>
      <c r="BK7" s="110"/>
      <c r="BL7" s="111"/>
      <c r="BM7" s="111"/>
      <c r="BN7" s="111"/>
      <c r="BO7" s="111"/>
      <c r="BP7" s="111"/>
      <c r="BQ7" s="111"/>
      <c r="BR7" s="111"/>
      <c r="BS7" s="111"/>
      <c r="BT7" s="111"/>
      <c r="BU7" s="111"/>
      <c r="BV7" s="111"/>
      <c r="BW7" s="111"/>
      <c r="BX7" s="111"/>
      <c r="BY7" s="111"/>
      <c r="BZ7" s="111"/>
      <c r="CA7" s="111"/>
      <c r="CB7" s="112"/>
    </row>
    <row r="8" spans="3:80" ht="9.75" customHeight="1" thickBot="1"/>
    <row r="9" spans="3:80" ht="9.75" customHeight="1">
      <c r="C9" s="77" t="s">
        <v>80</v>
      </c>
      <c r="D9" s="78"/>
      <c r="E9" s="78"/>
      <c r="F9" s="78"/>
      <c r="G9" s="78"/>
      <c r="H9" s="78"/>
      <c r="I9" s="78"/>
      <c r="J9" s="78"/>
      <c r="K9" s="78"/>
      <c r="L9" s="78"/>
      <c r="M9" s="78"/>
      <c r="N9" s="78"/>
      <c r="O9" s="78"/>
      <c r="P9" s="78"/>
      <c r="Q9" s="78"/>
      <c r="R9" s="78"/>
      <c r="S9" s="78"/>
      <c r="T9" s="78"/>
      <c r="U9" s="78"/>
      <c r="V9" s="78"/>
      <c r="W9" s="78"/>
      <c r="X9" s="78"/>
      <c r="Y9" s="78"/>
      <c r="Z9" s="78"/>
      <c r="AA9" s="78"/>
      <c r="AB9" s="78"/>
      <c r="AC9" s="78"/>
      <c r="AD9" s="78"/>
      <c r="AE9" s="78"/>
      <c r="AF9" s="78"/>
      <c r="AG9" s="78"/>
      <c r="AH9" s="78"/>
      <c r="AI9" s="78"/>
      <c r="AJ9" s="78"/>
      <c r="AK9" s="78"/>
      <c r="AL9" s="78"/>
      <c r="AM9" s="78"/>
      <c r="AN9" s="78"/>
      <c r="AO9" s="78"/>
      <c r="AP9" s="78"/>
      <c r="AQ9" s="78"/>
      <c r="AR9" s="78"/>
      <c r="AS9" s="78"/>
      <c r="AT9" s="78"/>
      <c r="AU9" s="78"/>
      <c r="AV9" s="78"/>
      <c r="AW9" s="78"/>
      <c r="AX9" s="78"/>
      <c r="AY9" s="78"/>
      <c r="AZ9" s="78"/>
      <c r="BA9" s="78"/>
      <c r="BB9" s="78"/>
      <c r="BC9" s="78"/>
      <c r="BD9" s="78"/>
      <c r="BE9" s="78"/>
      <c r="BF9" s="78"/>
      <c r="BG9" s="78"/>
      <c r="BH9" s="78"/>
      <c r="BI9" s="78"/>
      <c r="BJ9" s="78"/>
      <c r="BK9" s="78"/>
      <c r="BL9" s="78"/>
      <c r="BM9" s="78"/>
      <c r="BN9" s="78"/>
      <c r="BO9" s="78"/>
      <c r="BP9" s="78"/>
      <c r="BQ9" s="78"/>
      <c r="BR9" s="78"/>
      <c r="BS9" s="78"/>
      <c r="BT9" s="78"/>
      <c r="BU9" s="78"/>
      <c r="BV9" s="78"/>
      <c r="BW9" s="78"/>
      <c r="BX9" s="78"/>
      <c r="BY9" s="78"/>
      <c r="BZ9" s="78"/>
      <c r="CA9" s="78"/>
      <c r="CB9" s="79"/>
    </row>
    <row r="10" spans="3:80" ht="9.75" customHeight="1" thickBot="1">
      <c r="C10" s="80"/>
      <c r="D10" s="81"/>
      <c r="E10" s="81"/>
      <c r="F10" s="81"/>
      <c r="G10" s="81"/>
      <c r="H10" s="81"/>
      <c r="I10" s="81"/>
      <c r="J10" s="81"/>
      <c r="K10" s="81"/>
      <c r="L10" s="81"/>
      <c r="M10" s="81"/>
      <c r="N10" s="81"/>
      <c r="O10" s="81"/>
      <c r="P10" s="81"/>
      <c r="Q10" s="81"/>
      <c r="R10" s="81"/>
      <c r="S10" s="81"/>
      <c r="T10" s="81"/>
      <c r="U10" s="81"/>
      <c r="V10" s="81"/>
      <c r="W10" s="81"/>
      <c r="X10" s="81"/>
      <c r="Y10" s="81"/>
      <c r="Z10" s="81"/>
      <c r="AA10" s="81"/>
      <c r="AB10" s="81"/>
      <c r="AC10" s="81"/>
      <c r="AD10" s="81"/>
      <c r="AE10" s="81"/>
      <c r="AF10" s="81"/>
      <c r="AG10" s="81"/>
      <c r="AH10" s="81"/>
      <c r="AI10" s="81"/>
      <c r="AJ10" s="81"/>
      <c r="AK10" s="81"/>
      <c r="AL10" s="81"/>
      <c r="AM10" s="81"/>
      <c r="AN10" s="81"/>
      <c r="AO10" s="81"/>
      <c r="AP10" s="81"/>
      <c r="AQ10" s="81"/>
      <c r="AR10" s="81"/>
      <c r="AS10" s="81"/>
      <c r="AT10" s="81"/>
      <c r="AU10" s="81"/>
      <c r="AV10" s="81"/>
      <c r="AW10" s="81"/>
      <c r="AX10" s="81"/>
      <c r="AY10" s="81"/>
      <c r="AZ10" s="81"/>
      <c r="BA10" s="81"/>
      <c r="BB10" s="81"/>
      <c r="BC10" s="81"/>
      <c r="BD10" s="81"/>
      <c r="BE10" s="81"/>
      <c r="BF10" s="81"/>
      <c r="BG10" s="81"/>
      <c r="BH10" s="81"/>
      <c r="BI10" s="81"/>
      <c r="BJ10" s="81"/>
      <c r="BK10" s="81"/>
      <c r="BL10" s="81"/>
      <c r="BM10" s="81"/>
      <c r="BN10" s="81"/>
      <c r="BO10" s="81"/>
      <c r="BP10" s="81"/>
      <c r="BQ10" s="81"/>
      <c r="BR10" s="81"/>
      <c r="BS10" s="81"/>
      <c r="BT10" s="81"/>
      <c r="BU10" s="81"/>
      <c r="BV10" s="81"/>
      <c r="BW10" s="81"/>
      <c r="BX10" s="81"/>
      <c r="BY10" s="81"/>
      <c r="BZ10" s="81"/>
      <c r="CA10" s="81"/>
      <c r="CB10" s="82"/>
    </row>
    <row r="11" spans="3:80" ht="9.75" customHeight="1">
      <c r="C11" s="83"/>
      <c r="D11" s="84"/>
      <c r="E11" s="84"/>
      <c r="F11" s="84"/>
      <c r="G11" s="84"/>
      <c r="H11" s="84"/>
      <c r="I11" s="84"/>
      <c r="J11" s="84"/>
      <c r="K11" s="84"/>
      <c r="L11" s="84"/>
      <c r="M11" s="84"/>
      <c r="N11" s="84"/>
      <c r="O11" s="84"/>
      <c r="P11" s="84"/>
      <c r="Q11" s="84"/>
      <c r="R11" s="84"/>
      <c r="S11" s="84"/>
      <c r="T11" s="84"/>
      <c r="U11" s="84"/>
      <c r="V11" s="84"/>
      <c r="W11" s="84"/>
      <c r="X11" s="84"/>
      <c r="Y11" s="84"/>
      <c r="Z11" s="84"/>
      <c r="AA11" s="84"/>
      <c r="AB11" s="84"/>
      <c r="AC11" s="84"/>
      <c r="AD11" s="84"/>
      <c r="AE11" s="84"/>
      <c r="AF11" s="84"/>
      <c r="AG11" s="84"/>
      <c r="AH11" s="84"/>
      <c r="AI11" s="84"/>
      <c r="AJ11" s="84"/>
      <c r="AK11" s="84"/>
      <c r="AL11" s="84"/>
      <c r="AM11" s="84"/>
      <c r="AN11" s="84"/>
      <c r="AO11" s="84"/>
      <c r="AP11" s="84"/>
      <c r="AQ11" s="84"/>
      <c r="AR11" s="84"/>
      <c r="AS11" s="84"/>
      <c r="AT11" s="84"/>
      <c r="AU11" s="84"/>
      <c r="AV11" s="84"/>
      <c r="AW11" s="84"/>
      <c r="AX11" s="84"/>
      <c r="AY11" s="84"/>
      <c r="AZ11" s="84"/>
      <c r="BA11" s="84"/>
      <c r="BB11" s="84"/>
      <c r="BC11" s="84"/>
      <c r="BD11" s="84"/>
      <c r="BE11" s="84"/>
      <c r="BF11" s="84"/>
      <c r="BG11" s="84"/>
      <c r="BH11" s="84"/>
      <c r="BI11" s="84"/>
      <c r="BJ11" s="84"/>
      <c r="BK11" s="84"/>
      <c r="BL11" s="84"/>
      <c r="BM11" s="84"/>
      <c r="BN11" s="84"/>
      <c r="BO11" s="84"/>
      <c r="BP11" s="84"/>
      <c r="BQ11" s="84"/>
      <c r="BR11" s="84"/>
      <c r="BS11" s="84"/>
      <c r="BT11" s="84"/>
      <c r="BU11" s="84"/>
      <c r="BV11" s="84"/>
      <c r="BW11" s="84"/>
      <c r="BX11" s="84"/>
      <c r="BY11" s="84"/>
      <c r="BZ11" s="84"/>
      <c r="CA11" s="84"/>
      <c r="CB11" s="85"/>
    </row>
    <row r="12" spans="3:80" ht="9.75" customHeight="1">
      <c r="C12" s="86"/>
      <c r="D12" s="87"/>
      <c r="E12" s="87"/>
      <c r="F12" s="87"/>
      <c r="G12" s="87"/>
      <c r="H12" s="87"/>
      <c r="I12" s="87"/>
      <c r="J12" s="87"/>
      <c r="K12" s="87"/>
      <c r="L12" s="87"/>
      <c r="M12" s="87"/>
      <c r="N12" s="87"/>
      <c r="O12" s="87"/>
      <c r="P12" s="87"/>
      <c r="Q12" s="87"/>
      <c r="R12" s="87"/>
      <c r="S12" s="87"/>
      <c r="T12" s="87"/>
      <c r="U12" s="87"/>
      <c r="V12" s="87"/>
      <c r="W12" s="87"/>
      <c r="X12" s="87"/>
      <c r="Y12" s="87"/>
      <c r="Z12" s="87"/>
      <c r="AA12" s="87"/>
      <c r="AB12" s="87"/>
      <c r="AC12" s="87"/>
      <c r="AD12" s="87"/>
      <c r="AE12" s="87"/>
      <c r="AF12" s="87"/>
      <c r="AG12" s="87"/>
      <c r="AH12" s="87"/>
      <c r="AI12" s="87"/>
      <c r="AJ12" s="87"/>
      <c r="AK12" s="87"/>
      <c r="AL12" s="87"/>
      <c r="AM12" s="87"/>
      <c r="AN12" s="87"/>
      <c r="AO12" s="87"/>
      <c r="AP12" s="87"/>
      <c r="AQ12" s="87"/>
      <c r="AR12" s="87"/>
      <c r="AS12" s="87"/>
      <c r="AT12" s="87"/>
      <c r="AU12" s="87"/>
      <c r="AV12" s="87"/>
      <c r="AW12" s="87"/>
      <c r="AX12" s="87"/>
      <c r="AY12" s="87"/>
      <c r="AZ12" s="87"/>
      <c r="BA12" s="87"/>
      <c r="BB12" s="87"/>
      <c r="BC12" s="87"/>
      <c r="BD12" s="87"/>
      <c r="BE12" s="87"/>
      <c r="BF12" s="87"/>
      <c r="BG12" s="87"/>
      <c r="BH12" s="87"/>
      <c r="BI12" s="87"/>
      <c r="BJ12" s="87"/>
      <c r="BK12" s="87"/>
      <c r="BL12" s="87"/>
      <c r="BM12" s="87"/>
      <c r="BN12" s="87"/>
      <c r="BO12" s="87"/>
      <c r="BP12" s="87"/>
      <c r="BQ12" s="87"/>
      <c r="BR12" s="87"/>
      <c r="BS12" s="87"/>
      <c r="BT12" s="87"/>
      <c r="BU12" s="87"/>
      <c r="BV12" s="87"/>
      <c r="BW12" s="87"/>
      <c r="BX12" s="87"/>
      <c r="BY12" s="87"/>
      <c r="BZ12" s="87"/>
      <c r="CA12" s="87"/>
      <c r="CB12" s="88"/>
    </row>
    <row r="13" spans="3:80" ht="9.75" customHeight="1">
      <c r="C13" s="86"/>
      <c r="D13" s="87"/>
      <c r="E13" s="87"/>
      <c r="F13" s="87"/>
      <c r="G13" s="87"/>
      <c r="H13" s="87"/>
      <c r="I13" s="87"/>
      <c r="J13" s="87"/>
      <c r="K13" s="87"/>
      <c r="L13" s="87"/>
      <c r="M13" s="87"/>
      <c r="N13" s="87"/>
      <c r="O13" s="87"/>
      <c r="P13" s="87"/>
      <c r="Q13" s="87"/>
      <c r="R13" s="87"/>
      <c r="S13" s="87"/>
      <c r="T13" s="87"/>
      <c r="U13" s="87"/>
      <c r="V13" s="87"/>
      <c r="W13" s="87"/>
      <c r="X13" s="87"/>
      <c r="Y13" s="87"/>
      <c r="Z13" s="87"/>
      <c r="AA13" s="87"/>
      <c r="AB13" s="87"/>
      <c r="AC13" s="87"/>
      <c r="AD13" s="87"/>
      <c r="AE13" s="87"/>
      <c r="AF13" s="87"/>
      <c r="AG13" s="87"/>
      <c r="AH13" s="87"/>
      <c r="AI13" s="87"/>
      <c r="AJ13" s="87"/>
      <c r="AK13" s="87"/>
      <c r="AL13" s="87"/>
      <c r="AM13" s="87"/>
      <c r="AN13" s="87"/>
      <c r="AO13" s="87"/>
      <c r="AP13" s="87"/>
      <c r="AQ13" s="87"/>
      <c r="AR13" s="87"/>
      <c r="AS13" s="87"/>
      <c r="AT13" s="87"/>
      <c r="AU13" s="87"/>
      <c r="AV13" s="87"/>
      <c r="AW13" s="87"/>
      <c r="AX13" s="87"/>
      <c r="AY13" s="87"/>
      <c r="AZ13" s="87"/>
      <c r="BA13" s="87"/>
      <c r="BB13" s="87"/>
      <c r="BC13" s="87"/>
      <c r="BD13" s="87"/>
      <c r="BE13" s="87"/>
      <c r="BF13" s="87"/>
      <c r="BG13" s="87"/>
      <c r="BH13" s="87"/>
      <c r="BI13" s="87"/>
      <c r="BJ13" s="87"/>
      <c r="BK13" s="87"/>
      <c r="BL13" s="87"/>
      <c r="BM13" s="87"/>
      <c r="BN13" s="87"/>
      <c r="BO13" s="87"/>
      <c r="BP13" s="87"/>
      <c r="BQ13" s="87"/>
      <c r="BR13" s="87"/>
      <c r="BS13" s="87"/>
      <c r="BT13" s="87"/>
      <c r="BU13" s="87"/>
      <c r="BV13" s="87"/>
      <c r="BW13" s="87"/>
      <c r="BX13" s="87"/>
      <c r="BY13" s="87"/>
      <c r="BZ13" s="87"/>
      <c r="CA13" s="87"/>
      <c r="CB13" s="88"/>
    </row>
    <row r="14" spans="3:80" ht="9.75" customHeight="1">
      <c r="C14" s="86"/>
      <c r="D14" s="87"/>
      <c r="E14" s="87"/>
      <c r="F14" s="87"/>
      <c r="G14" s="87"/>
      <c r="H14" s="87"/>
      <c r="I14" s="87"/>
      <c r="J14" s="87"/>
      <c r="K14" s="87"/>
      <c r="L14" s="87"/>
      <c r="M14" s="87"/>
      <c r="N14" s="87"/>
      <c r="O14" s="87"/>
      <c r="P14" s="87"/>
      <c r="Q14" s="87"/>
      <c r="R14" s="87"/>
      <c r="S14" s="87"/>
      <c r="T14" s="87"/>
      <c r="U14" s="87"/>
      <c r="V14" s="87"/>
      <c r="W14" s="87"/>
      <c r="X14" s="87"/>
      <c r="Y14" s="87"/>
      <c r="Z14" s="87"/>
      <c r="AA14" s="87"/>
      <c r="AB14" s="87"/>
      <c r="AC14" s="87"/>
      <c r="AD14" s="87"/>
      <c r="AE14" s="87"/>
      <c r="AF14" s="87"/>
      <c r="AG14" s="87"/>
      <c r="AH14" s="87"/>
      <c r="AI14" s="87"/>
      <c r="AJ14" s="87"/>
      <c r="AK14" s="87"/>
      <c r="AL14" s="87"/>
      <c r="AM14" s="87"/>
      <c r="AN14" s="87"/>
      <c r="AO14" s="87"/>
      <c r="AP14" s="87"/>
      <c r="AQ14" s="87"/>
      <c r="AR14" s="87"/>
      <c r="AS14" s="87"/>
      <c r="AT14" s="87"/>
      <c r="AU14" s="87"/>
      <c r="AV14" s="87"/>
      <c r="AW14" s="87"/>
      <c r="AX14" s="87"/>
      <c r="AY14" s="87"/>
      <c r="AZ14" s="87"/>
      <c r="BA14" s="87"/>
      <c r="BB14" s="87"/>
      <c r="BC14" s="87"/>
      <c r="BD14" s="87"/>
      <c r="BE14" s="87"/>
      <c r="BF14" s="87"/>
      <c r="BG14" s="87"/>
      <c r="BH14" s="87"/>
      <c r="BI14" s="87"/>
      <c r="BJ14" s="87"/>
      <c r="BK14" s="87"/>
      <c r="BL14" s="87"/>
      <c r="BM14" s="87"/>
      <c r="BN14" s="87"/>
      <c r="BO14" s="87"/>
      <c r="BP14" s="87"/>
      <c r="BQ14" s="87"/>
      <c r="BR14" s="87"/>
      <c r="BS14" s="87"/>
      <c r="BT14" s="87"/>
      <c r="BU14" s="87"/>
      <c r="BV14" s="87"/>
      <c r="BW14" s="87"/>
      <c r="BX14" s="87"/>
      <c r="BY14" s="87"/>
      <c r="BZ14" s="87"/>
      <c r="CA14" s="87"/>
      <c r="CB14" s="88"/>
    </row>
    <row r="15" spans="3:80" ht="9.75" customHeight="1">
      <c r="C15" s="86"/>
      <c r="D15" s="87"/>
      <c r="E15" s="87"/>
      <c r="F15" s="87"/>
      <c r="G15" s="87"/>
      <c r="H15" s="87"/>
      <c r="I15" s="87"/>
      <c r="J15" s="87"/>
      <c r="K15" s="87"/>
      <c r="L15" s="87"/>
      <c r="M15" s="87"/>
      <c r="N15" s="87"/>
      <c r="O15" s="87"/>
      <c r="P15" s="87"/>
      <c r="Q15" s="87"/>
      <c r="R15" s="87"/>
      <c r="S15" s="87"/>
      <c r="T15" s="87"/>
      <c r="U15" s="87"/>
      <c r="V15" s="87"/>
      <c r="W15" s="87"/>
      <c r="X15" s="87"/>
      <c r="Y15" s="87"/>
      <c r="Z15" s="87"/>
      <c r="AA15" s="87"/>
      <c r="AB15" s="87"/>
      <c r="AC15" s="87"/>
      <c r="AD15" s="87"/>
      <c r="AE15" s="87"/>
      <c r="AF15" s="87"/>
      <c r="AG15" s="87"/>
      <c r="AH15" s="87"/>
      <c r="AI15" s="87"/>
      <c r="AJ15" s="87"/>
      <c r="AK15" s="87"/>
      <c r="AL15" s="87"/>
      <c r="AM15" s="87"/>
      <c r="AN15" s="87"/>
      <c r="AO15" s="87"/>
      <c r="AP15" s="87"/>
      <c r="AQ15" s="87"/>
      <c r="AR15" s="87"/>
      <c r="AS15" s="87"/>
      <c r="AT15" s="87"/>
      <c r="AU15" s="87"/>
      <c r="AV15" s="87"/>
      <c r="AW15" s="87"/>
      <c r="AX15" s="87"/>
      <c r="AY15" s="87"/>
      <c r="AZ15" s="87"/>
      <c r="BA15" s="87"/>
      <c r="BB15" s="87"/>
      <c r="BC15" s="87"/>
      <c r="BD15" s="87"/>
      <c r="BE15" s="87"/>
      <c r="BF15" s="87"/>
      <c r="BG15" s="87"/>
      <c r="BH15" s="87"/>
      <c r="BI15" s="87"/>
      <c r="BJ15" s="87"/>
      <c r="BK15" s="87"/>
      <c r="BL15" s="87"/>
      <c r="BM15" s="87"/>
      <c r="BN15" s="87"/>
      <c r="BO15" s="87"/>
      <c r="BP15" s="87"/>
      <c r="BQ15" s="87"/>
      <c r="BR15" s="87"/>
      <c r="BS15" s="87"/>
      <c r="BT15" s="87"/>
      <c r="BU15" s="87"/>
      <c r="BV15" s="87"/>
      <c r="BW15" s="87"/>
      <c r="BX15" s="87"/>
      <c r="BY15" s="87"/>
      <c r="BZ15" s="87"/>
      <c r="CA15" s="87"/>
      <c r="CB15" s="88"/>
    </row>
    <row r="16" spans="3:80" ht="9.75" customHeight="1">
      <c r="C16" s="86"/>
      <c r="D16" s="87"/>
      <c r="E16" s="87"/>
      <c r="F16" s="87"/>
      <c r="G16" s="87"/>
      <c r="H16" s="87"/>
      <c r="I16" s="87"/>
      <c r="J16" s="87"/>
      <c r="K16" s="87"/>
      <c r="L16" s="87"/>
      <c r="M16" s="87"/>
      <c r="N16" s="87"/>
      <c r="O16" s="87"/>
      <c r="P16" s="87"/>
      <c r="Q16" s="87"/>
      <c r="R16" s="87"/>
      <c r="S16" s="87"/>
      <c r="T16" s="87"/>
      <c r="U16" s="87"/>
      <c r="V16" s="87"/>
      <c r="W16" s="87"/>
      <c r="X16" s="87"/>
      <c r="Y16" s="87"/>
      <c r="Z16" s="87"/>
      <c r="AA16" s="87"/>
      <c r="AB16" s="87"/>
      <c r="AC16" s="87"/>
      <c r="AD16" s="87"/>
      <c r="AE16" s="87"/>
      <c r="AF16" s="87"/>
      <c r="AG16" s="87"/>
      <c r="AH16" s="87"/>
      <c r="AI16" s="87"/>
      <c r="AJ16" s="87"/>
      <c r="AK16" s="87"/>
      <c r="AL16" s="87"/>
      <c r="AM16" s="87"/>
      <c r="AN16" s="87"/>
      <c r="AO16" s="87"/>
      <c r="AP16" s="87"/>
      <c r="AQ16" s="87"/>
      <c r="AR16" s="87"/>
      <c r="AS16" s="87"/>
      <c r="AT16" s="87"/>
      <c r="AU16" s="87"/>
      <c r="AV16" s="87"/>
      <c r="AW16" s="87"/>
      <c r="AX16" s="87"/>
      <c r="AY16" s="87"/>
      <c r="AZ16" s="87"/>
      <c r="BA16" s="87"/>
      <c r="BB16" s="87"/>
      <c r="BC16" s="87"/>
      <c r="BD16" s="87"/>
      <c r="BE16" s="87"/>
      <c r="BF16" s="87"/>
      <c r="BG16" s="87"/>
      <c r="BH16" s="87"/>
      <c r="BI16" s="87"/>
      <c r="BJ16" s="87"/>
      <c r="BK16" s="87"/>
      <c r="BL16" s="87"/>
      <c r="BM16" s="87"/>
      <c r="BN16" s="87"/>
      <c r="BO16" s="87"/>
      <c r="BP16" s="87"/>
      <c r="BQ16" s="87"/>
      <c r="BR16" s="87"/>
      <c r="BS16" s="87"/>
      <c r="BT16" s="87"/>
      <c r="BU16" s="87"/>
      <c r="BV16" s="87"/>
      <c r="BW16" s="87"/>
      <c r="BX16" s="87"/>
      <c r="BY16" s="87"/>
      <c r="BZ16" s="87"/>
      <c r="CA16" s="87"/>
      <c r="CB16" s="88"/>
    </row>
    <row r="17" spans="3:80" ht="9.75" customHeight="1">
      <c r="C17" s="86"/>
      <c r="D17" s="87"/>
      <c r="E17" s="87"/>
      <c r="F17" s="87"/>
      <c r="G17" s="87"/>
      <c r="H17" s="87"/>
      <c r="I17" s="87"/>
      <c r="J17" s="87"/>
      <c r="K17" s="87"/>
      <c r="L17" s="87"/>
      <c r="M17" s="87"/>
      <c r="N17" s="87"/>
      <c r="O17" s="87"/>
      <c r="P17" s="87"/>
      <c r="Q17" s="87"/>
      <c r="R17" s="87"/>
      <c r="S17" s="87"/>
      <c r="T17" s="87"/>
      <c r="U17" s="87"/>
      <c r="V17" s="87"/>
      <c r="W17" s="87"/>
      <c r="X17" s="87"/>
      <c r="Y17" s="87"/>
      <c r="Z17" s="87"/>
      <c r="AA17" s="87"/>
      <c r="AB17" s="87"/>
      <c r="AC17" s="87"/>
      <c r="AD17" s="87"/>
      <c r="AE17" s="87"/>
      <c r="AF17" s="87"/>
      <c r="AG17" s="87"/>
      <c r="AH17" s="87"/>
      <c r="AI17" s="87"/>
      <c r="AJ17" s="87"/>
      <c r="AK17" s="87"/>
      <c r="AL17" s="87"/>
      <c r="AM17" s="87"/>
      <c r="AN17" s="87"/>
      <c r="AO17" s="87"/>
      <c r="AP17" s="87"/>
      <c r="AQ17" s="87"/>
      <c r="AR17" s="87"/>
      <c r="AS17" s="87"/>
      <c r="AT17" s="87"/>
      <c r="AU17" s="87"/>
      <c r="AV17" s="87"/>
      <c r="AW17" s="87"/>
      <c r="AX17" s="87"/>
      <c r="AY17" s="87"/>
      <c r="AZ17" s="87"/>
      <c r="BA17" s="87"/>
      <c r="BB17" s="87"/>
      <c r="BC17" s="87"/>
      <c r="BD17" s="87"/>
      <c r="BE17" s="87"/>
      <c r="BF17" s="87"/>
      <c r="BG17" s="87"/>
      <c r="BH17" s="87"/>
      <c r="BI17" s="87"/>
      <c r="BJ17" s="87"/>
      <c r="BK17" s="87"/>
      <c r="BL17" s="87"/>
      <c r="BM17" s="87"/>
      <c r="BN17" s="87"/>
      <c r="BO17" s="87"/>
      <c r="BP17" s="87"/>
      <c r="BQ17" s="87"/>
      <c r="BR17" s="87"/>
      <c r="BS17" s="87"/>
      <c r="BT17" s="87"/>
      <c r="BU17" s="87"/>
      <c r="BV17" s="87"/>
      <c r="BW17" s="87"/>
      <c r="BX17" s="87"/>
      <c r="BY17" s="87"/>
      <c r="BZ17" s="87"/>
      <c r="CA17" s="87"/>
      <c r="CB17" s="88"/>
    </row>
    <row r="18" spans="3:80" ht="9.75" customHeight="1">
      <c r="C18" s="86"/>
      <c r="D18" s="87"/>
      <c r="E18" s="87"/>
      <c r="F18" s="87"/>
      <c r="G18" s="87"/>
      <c r="H18" s="87"/>
      <c r="I18" s="87"/>
      <c r="J18" s="87"/>
      <c r="K18" s="87"/>
      <c r="L18" s="87"/>
      <c r="M18" s="87"/>
      <c r="N18" s="87"/>
      <c r="O18" s="87"/>
      <c r="P18" s="87"/>
      <c r="Q18" s="87"/>
      <c r="R18" s="87"/>
      <c r="S18" s="87"/>
      <c r="T18" s="87"/>
      <c r="U18" s="87"/>
      <c r="V18" s="87"/>
      <c r="W18" s="87"/>
      <c r="X18" s="87"/>
      <c r="Y18" s="87"/>
      <c r="Z18" s="87"/>
      <c r="AA18" s="87"/>
      <c r="AB18" s="87"/>
      <c r="AC18" s="87"/>
      <c r="AD18" s="87"/>
      <c r="AE18" s="87"/>
      <c r="AF18" s="87"/>
      <c r="AG18" s="87"/>
      <c r="AH18" s="87"/>
      <c r="AI18" s="87"/>
      <c r="AJ18" s="87"/>
      <c r="AK18" s="87"/>
      <c r="AL18" s="87"/>
      <c r="AM18" s="87"/>
      <c r="AN18" s="87"/>
      <c r="AO18" s="87"/>
      <c r="AP18" s="87"/>
      <c r="AQ18" s="87"/>
      <c r="AR18" s="87"/>
      <c r="AS18" s="87"/>
      <c r="AT18" s="87"/>
      <c r="AU18" s="87"/>
      <c r="AV18" s="87"/>
      <c r="AW18" s="87"/>
      <c r="AX18" s="87"/>
      <c r="AY18" s="87"/>
      <c r="AZ18" s="87"/>
      <c r="BA18" s="87"/>
      <c r="BB18" s="87"/>
      <c r="BC18" s="87"/>
      <c r="BD18" s="87"/>
      <c r="BE18" s="87"/>
      <c r="BF18" s="87"/>
      <c r="BG18" s="87"/>
      <c r="BH18" s="87"/>
      <c r="BI18" s="87"/>
      <c r="BJ18" s="87"/>
      <c r="BK18" s="87"/>
      <c r="BL18" s="87"/>
      <c r="BM18" s="87"/>
      <c r="BN18" s="87"/>
      <c r="BO18" s="87"/>
      <c r="BP18" s="87"/>
      <c r="BQ18" s="87"/>
      <c r="BR18" s="87"/>
      <c r="BS18" s="87"/>
      <c r="BT18" s="87"/>
      <c r="BU18" s="87"/>
      <c r="BV18" s="87"/>
      <c r="BW18" s="87"/>
      <c r="BX18" s="87"/>
      <c r="BY18" s="87"/>
      <c r="BZ18" s="87"/>
      <c r="CA18" s="87"/>
      <c r="CB18" s="88"/>
    </row>
    <row r="19" spans="3:80" ht="9.75" customHeight="1">
      <c r="C19" s="86"/>
      <c r="D19" s="87"/>
      <c r="E19" s="87"/>
      <c r="F19" s="87"/>
      <c r="G19" s="87"/>
      <c r="H19" s="87"/>
      <c r="I19" s="87"/>
      <c r="J19" s="87"/>
      <c r="K19" s="87"/>
      <c r="L19" s="87"/>
      <c r="M19" s="87"/>
      <c r="N19" s="87"/>
      <c r="O19" s="87"/>
      <c r="P19" s="87"/>
      <c r="Q19" s="87"/>
      <c r="R19" s="87"/>
      <c r="S19" s="87"/>
      <c r="T19" s="87"/>
      <c r="U19" s="87"/>
      <c r="V19" s="87"/>
      <c r="W19" s="87"/>
      <c r="X19" s="87"/>
      <c r="Y19" s="87"/>
      <c r="Z19" s="87"/>
      <c r="AA19" s="87"/>
      <c r="AB19" s="87"/>
      <c r="AC19" s="87"/>
      <c r="AD19" s="87"/>
      <c r="AE19" s="87"/>
      <c r="AF19" s="87"/>
      <c r="AG19" s="87"/>
      <c r="AH19" s="87"/>
      <c r="AI19" s="87"/>
      <c r="AJ19" s="87"/>
      <c r="AK19" s="87"/>
      <c r="AL19" s="87"/>
      <c r="AM19" s="87"/>
      <c r="AN19" s="87"/>
      <c r="AO19" s="87"/>
      <c r="AP19" s="87"/>
      <c r="AQ19" s="87"/>
      <c r="AR19" s="87"/>
      <c r="AS19" s="87"/>
      <c r="AT19" s="87"/>
      <c r="AU19" s="87"/>
      <c r="AV19" s="87"/>
      <c r="AW19" s="87"/>
      <c r="AX19" s="87"/>
      <c r="AY19" s="87"/>
      <c r="AZ19" s="87"/>
      <c r="BA19" s="87"/>
      <c r="BB19" s="87"/>
      <c r="BC19" s="87"/>
      <c r="BD19" s="87"/>
      <c r="BE19" s="87"/>
      <c r="BF19" s="87"/>
      <c r="BG19" s="87"/>
      <c r="BH19" s="87"/>
      <c r="BI19" s="87"/>
      <c r="BJ19" s="87"/>
      <c r="BK19" s="87"/>
      <c r="BL19" s="87"/>
      <c r="BM19" s="87"/>
      <c r="BN19" s="87"/>
      <c r="BO19" s="87"/>
      <c r="BP19" s="87"/>
      <c r="BQ19" s="87"/>
      <c r="BR19" s="87"/>
      <c r="BS19" s="87"/>
      <c r="BT19" s="87"/>
      <c r="BU19" s="87"/>
      <c r="BV19" s="87"/>
      <c r="BW19" s="87"/>
      <c r="BX19" s="87"/>
      <c r="BY19" s="87"/>
      <c r="BZ19" s="87"/>
      <c r="CA19" s="87"/>
      <c r="CB19" s="88"/>
    </row>
    <row r="20" spans="3:80" ht="9.75" customHeight="1">
      <c r="C20" s="86"/>
      <c r="D20" s="87"/>
      <c r="E20" s="87"/>
      <c r="F20" s="87"/>
      <c r="G20" s="87"/>
      <c r="H20" s="87"/>
      <c r="I20" s="87"/>
      <c r="J20" s="87"/>
      <c r="K20" s="87"/>
      <c r="L20" s="87"/>
      <c r="M20" s="87"/>
      <c r="N20" s="87"/>
      <c r="O20" s="87"/>
      <c r="P20" s="87"/>
      <c r="Q20" s="87"/>
      <c r="R20" s="87"/>
      <c r="S20" s="87"/>
      <c r="T20" s="87"/>
      <c r="U20" s="87"/>
      <c r="V20" s="87"/>
      <c r="W20" s="87"/>
      <c r="X20" s="87"/>
      <c r="Y20" s="87"/>
      <c r="Z20" s="87"/>
      <c r="AA20" s="87"/>
      <c r="AB20" s="87"/>
      <c r="AC20" s="87"/>
      <c r="AD20" s="87"/>
      <c r="AE20" s="87"/>
      <c r="AF20" s="87"/>
      <c r="AG20" s="87"/>
      <c r="AH20" s="87"/>
      <c r="AI20" s="87"/>
      <c r="AJ20" s="87"/>
      <c r="AK20" s="87"/>
      <c r="AL20" s="87"/>
      <c r="AM20" s="87"/>
      <c r="AN20" s="87"/>
      <c r="AO20" s="87"/>
      <c r="AP20" s="87"/>
      <c r="AQ20" s="87"/>
      <c r="AR20" s="87"/>
      <c r="AS20" s="87"/>
      <c r="AT20" s="87"/>
      <c r="AU20" s="87"/>
      <c r="AV20" s="87"/>
      <c r="AW20" s="87"/>
      <c r="AX20" s="87"/>
      <c r="AY20" s="87"/>
      <c r="AZ20" s="87"/>
      <c r="BA20" s="87"/>
      <c r="BB20" s="87"/>
      <c r="BC20" s="87"/>
      <c r="BD20" s="87"/>
      <c r="BE20" s="87"/>
      <c r="BF20" s="87"/>
      <c r="BG20" s="87"/>
      <c r="BH20" s="87"/>
      <c r="BI20" s="87"/>
      <c r="BJ20" s="87"/>
      <c r="BK20" s="87"/>
      <c r="BL20" s="87"/>
      <c r="BM20" s="87"/>
      <c r="BN20" s="87"/>
      <c r="BO20" s="87"/>
      <c r="BP20" s="87"/>
      <c r="BQ20" s="87"/>
      <c r="BR20" s="87"/>
      <c r="BS20" s="87"/>
      <c r="BT20" s="87"/>
      <c r="BU20" s="87"/>
      <c r="BV20" s="87"/>
      <c r="BW20" s="87"/>
      <c r="BX20" s="87"/>
      <c r="BY20" s="87"/>
      <c r="BZ20" s="87"/>
      <c r="CA20" s="87"/>
      <c r="CB20" s="88"/>
    </row>
    <row r="21" spans="3:80" ht="9.75" customHeight="1">
      <c r="C21" s="86"/>
      <c r="D21" s="87"/>
      <c r="E21" s="87"/>
      <c r="F21" s="87"/>
      <c r="G21" s="87"/>
      <c r="H21" s="87"/>
      <c r="I21" s="87"/>
      <c r="J21" s="87"/>
      <c r="K21" s="87"/>
      <c r="L21" s="87"/>
      <c r="M21" s="87"/>
      <c r="N21" s="87"/>
      <c r="O21" s="87"/>
      <c r="P21" s="87"/>
      <c r="Q21" s="87"/>
      <c r="R21" s="87"/>
      <c r="S21" s="87"/>
      <c r="T21" s="87"/>
      <c r="U21" s="87"/>
      <c r="V21" s="87"/>
      <c r="W21" s="87"/>
      <c r="X21" s="87"/>
      <c r="Y21" s="87"/>
      <c r="Z21" s="87"/>
      <c r="AA21" s="87"/>
      <c r="AB21" s="87"/>
      <c r="AC21" s="87"/>
      <c r="AD21" s="87"/>
      <c r="AE21" s="87"/>
      <c r="AF21" s="87"/>
      <c r="AG21" s="87"/>
      <c r="AH21" s="87"/>
      <c r="AI21" s="87"/>
      <c r="AJ21" s="87"/>
      <c r="AK21" s="87"/>
      <c r="AL21" s="87"/>
      <c r="AM21" s="87"/>
      <c r="AN21" s="87"/>
      <c r="AO21" s="87"/>
      <c r="AP21" s="87"/>
      <c r="AQ21" s="87"/>
      <c r="AR21" s="87"/>
      <c r="AS21" s="87"/>
      <c r="AT21" s="87"/>
      <c r="AU21" s="87"/>
      <c r="AV21" s="87"/>
      <c r="AW21" s="87"/>
      <c r="AX21" s="87"/>
      <c r="AY21" s="87"/>
      <c r="AZ21" s="87"/>
      <c r="BA21" s="87"/>
      <c r="BB21" s="87"/>
      <c r="BC21" s="87"/>
      <c r="BD21" s="87"/>
      <c r="BE21" s="87"/>
      <c r="BF21" s="87"/>
      <c r="BG21" s="87"/>
      <c r="BH21" s="87"/>
      <c r="BI21" s="87"/>
      <c r="BJ21" s="87"/>
      <c r="BK21" s="87"/>
      <c r="BL21" s="87"/>
      <c r="BM21" s="87"/>
      <c r="BN21" s="87"/>
      <c r="BO21" s="87"/>
      <c r="BP21" s="87"/>
      <c r="BQ21" s="87"/>
      <c r="BR21" s="87"/>
      <c r="BS21" s="87"/>
      <c r="BT21" s="87"/>
      <c r="BU21" s="87"/>
      <c r="BV21" s="87"/>
      <c r="BW21" s="87"/>
      <c r="BX21" s="87"/>
      <c r="BY21" s="87"/>
      <c r="BZ21" s="87"/>
      <c r="CA21" s="87"/>
      <c r="CB21" s="88"/>
    </row>
    <row r="22" spans="3:80" ht="9.75" customHeight="1">
      <c r="C22" s="86"/>
      <c r="D22" s="87"/>
      <c r="E22" s="87"/>
      <c r="F22" s="87"/>
      <c r="G22" s="87"/>
      <c r="H22" s="87"/>
      <c r="I22" s="87"/>
      <c r="J22" s="87"/>
      <c r="K22" s="87"/>
      <c r="L22" s="87"/>
      <c r="M22" s="87"/>
      <c r="N22" s="87"/>
      <c r="O22" s="87"/>
      <c r="P22" s="87"/>
      <c r="Q22" s="87"/>
      <c r="R22" s="87"/>
      <c r="S22" s="87"/>
      <c r="T22" s="87"/>
      <c r="U22" s="87"/>
      <c r="V22" s="87"/>
      <c r="W22" s="87"/>
      <c r="X22" s="87"/>
      <c r="Y22" s="87"/>
      <c r="Z22" s="87"/>
      <c r="AA22" s="87"/>
      <c r="AB22" s="87"/>
      <c r="AC22" s="87"/>
      <c r="AD22" s="87"/>
      <c r="AE22" s="87"/>
      <c r="AF22" s="87"/>
      <c r="AG22" s="87"/>
      <c r="AH22" s="87"/>
      <c r="AI22" s="87"/>
      <c r="AJ22" s="87"/>
      <c r="AK22" s="87"/>
      <c r="AL22" s="87"/>
      <c r="AM22" s="87"/>
      <c r="AN22" s="87"/>
      <c r="AO22" s="87"/>
      <c r="AP22" s="87"/>
      <c r="AQ22" s="87"/>
      <c r="AR22" s="87"/>
      <c r="AS22" s="87"/>
      <c r="AT22" s="87"/>
      <c r="AU22" s="87"/>
      <c r="AV22" s="87"/>
      <c r="AW22" s="87"/>
      <c r="AX22" s="87"/>
      <c r="AY22" s="87"/>
      <c r="AZ22" s="87"/>
      <c r="BA22" s="87"/>
      <c r="BB22" s="87"/>
      <c r="BC22" s="87"/>
      <c r="BD22" s="87"/>
      <c r="BE22" s="87"/>
      <c r="BF22" s="87"/>
      <c r="BG22" s="87"/>
      <c r="BH22" s="87"/>
      <c r="BI22" s="87"/>
      <c r="BJ22" s="87"/>
      <c r="BK22" s="87"/>
      <c r="BL22" s="87"/>
      <c r="BM22" s="87"/>
      <c r="BN22" s="87"/>
      <c r="BO22" s="87"/>
      <c r="BP22" s="87"/>
      <c r="BQ22" s="87"/>
      <c r="BR22" s="87"/>
      <c r="BS22" s="87"/>
      <c r="BT22" s="87"/>
      <c r="BU22" s="87"/>
      <c r="BV22" s="87"/>
      <c r="BW22" s="87"/>
      <c r="BX22" s="87"/>
      <c r="BY22" s="87"/>
      <c r="BZ22" s="87"/>
      <c r="CA22" s="87"/>
      <c r="CB22" s="88"/>
    </row>
    <row r="23" spans="3:80" ht="9.75" customHeight="1">
      <c r="C23" s="86"/>
      <c r="D23" s="87"/>
      <c r="E23" s="87"/>
      <c r="F23" s="87"/>
      <c r="G23" s="87"/>
      <c r="H23" s="87"/>
      <c r="I23" s="87"/>
      <c r="J23" s="87"/>
      <c r="K23" s="87"/>
      <c r="L23" s="87"/>
      <c r="M23" s="87"/>
      <c r="N23" s="87"/>
      <c r="O23" s="87"/>
      <c r="P23" s="87"/>
      <c r="Q23" s="87"/>
      <c r="R23" s="87"/>
      <c r="S23" s="87"/>
      <c r="T23" s="87"/>
      <c r="U23" s="87"/>
      <c r="V23" s="87"/>
      <c r="W23" s="87"/>
      <c r="X23" s="87"/>
      <c r="Y23" s="87"/>
      <c r="Z23" s="87"/>
      <c r="AA23" s="87"/>
      <c r="AB23" s="87"/>
      <c r="AC23" s="87"/>
      <c r="AD23" s="87"/>
      <c r="AE23" s="87"/>
      <c r="AF23" s="87"/>
      <c r="AG23" s="87"/>
      <c r="AH23" s="87"/>
      <c r="AI23" s="87"/>
      <c r="AJ23" s="87"/>
      <c r="AK23" s="87"/>
      <c r="AL23" s="87"/>
      <c r="AM23" s="87"/>
      <c r="AN23" s="87"/>
      <c r="AO23" s="87"/>
      <c r="AP23" s="87"/>
      <c r="AQ23" s="87"/>
      <c r="AR23" s="87"/>
      <c r="AS23" s="87"/>
      <c r="AT23" s="87"/>
      <c r="AU23" s="87"/>
      <c r="AV23" s="87"/>
      <c r="AW23" s="87"/>
      <c r="AX23" s="87"/>
      <c r="AY23" s="87"/>
      <c r="AZ23" s="87"/>
      <c r="BA23" s="87"/>
      <c r="BB23" s="87"/>
      <c r="BC23" s="87"/>
      <c r="BD23" s="87"/>
      <c r="BE23" s="87"/>
      <c r="BF23" s="87"/>
      <c r="BG23" s="87"/>
      <c r="BH23" s="87"/>
      <c r="BI23" s="87"/>
      <c r="BJ23" s="87"/>
      <c r="BK23" s="87"/>
      <c r="BL23" s="87"/>
      <c r="BM23" s="87"/>
      <c r="BN23" s="87"/>
      <c r="BO23" s="87"/>
      <c r="BP23" s="87"/>
      <c r="BQ23" s="87"/>
      <c r="BR23" s="87"/>
      <c r="BS23" s="87"/>
      <c r="BT23" s="87"/>
      <c r="BU23" s="87"/>
      <c r="BV23" s="87"/>
      <c r="BW23" s="87"/>
      <c r="BX23" s="87"/>
      <c r="BY23" s="87"/>
      <c r="BZ23" s="87"/>
      <c r="CA23" s="87"/>
      <c r="CB23" s="88"/>
    </row>
    <row r="24" spans="3:80" ht="9.75" customHeight="1" thickBot="1">
      <c r="C24" s="89"/>
      <c r="D24" s="90"/>
      <c r="E24" s="90"/>
      <c r="F24" s="90"/>
      <c r="G24" s="90"/>
      <c r="H24" s="90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90"/>
      <c r="AG24" s="90"/>
      <c r="AH24" s="90"/>
      <c r="AI24" s="90"/>
      <c r="AJ24" s="90"/>
      <c r="AK24" s="90"/>
      <c r="AL24" s="90"/>
      <c r="AM24" s="90"/>
      <c r="AN24" s="90"/>
      <c r="AO24" s="90"/>
      <c r="AP24" s="90"/>
      <c r="AQ24" s="90"/>
      <c r="AR24" s="90"/>
      <c r="AS24" s="90"/>
      <c r="AT24" s="90"/>
      <c r="AU24" s="90"/>
      <c r="AV24" s="90"/>
      <c r="AW24" s="90"/>
      <c r="AX24" s="90"/>
      <c r="AY24" s="90"/>
      <c r="AZ24" s="90"/>
      <c r="BA24" s="90"/>
      <c r="BB24" s="90"/>
      <c r="BC24" s="90"/>
      <c r="BD24" s="90"/>
      <c r="BE24" s="90"/>
      <c r="BF24" s="90"/>
      <c r="BG24" s="90"/>
      <c r="BH24" s="90"/>
      <c r="BI24" s="90"/>
      <c r="BJ24" s="90"/>
      <c r="BK24" s="90"/>
      <c r="BL24" s="90"/>
      <c r="BM24" s="90"/>
      <c r="BN24" s="90"/>
      <c r="BO24" s="90"/>
      <c r="BP24" s="90"/>
      <c r="BQ24" s="90"/>
      <c r="BR24" s="90"/>
      <c r="BS24" s="90"/>
      <c r="BT24" s="90"/>
      <c r="BU24" s="90"/>
      <c r="BV24" s="90"/>
      <c r="BW24" s="90"/>
      <c r="BX24" s="90"/>
      <c r="BY24" s="90"/>
      <c r="BZ24" s="90"/>
      <c r="CA24" s="90"/>
      <c r="CB24" s="91"/>
    </row>
    <row r="25" spans="3:80" ht="9.75" customHeight="1" thickBot="1"/>
    <row r="26" spans="3:80" ht="9.75" customHeight="1">
      <c r="C26" s="77" t="s">
        <v>81</v>
      </c>
      <c r="D26" s="78"/>
      <c r="E26" s="78"/>
      <c r="F26" s="78"/>
      <c r="G26" s="78"/>
      <c r="H26" s="78"/>
      <c r="I26" s="78"/>
      <c r="J26" s="78"/>
      <c r="K26" s="78"/>
      <c r="L26" s="78"/>
      <c r="M26" s="78"/>
      <c r="N26" s="78"/>
      <c r="O26" s="78"/>
      <c r="P26" s="78"/>
      <c r="Q26" s="78"/>
      <c r="R26" s="78"/>
      <c r="S26" s="78"/>
      <c r="T26" s="78"/>
      <c r="U26" s="78"/>
      <c r="V26" s="78"/>
      <c r="W26" s="78"/>
      <c r="X26" s="78"/>
      <c r="Y26" s="78"/>
      <c r="Z26" s="78"/>
      <c r="AA26" s="78"/>
      <c r="AB26" s="78"/>
      <c r="AC26" s="78"/>
      <c r="AD26" s="78"/>
      <c r="AE26" s="78"/>
      <c r="AF26" s="78"/>
      <c r="AG26" s="78"/>
      <c r="AH26" s="78"/>
      <c r="AI26" s="78"/>
      <c r="AJ26" s="78"/>
      <c r="AK26" s="78"/>
      <c r="AL26" s="78"/>
      <c r="AM26" s="78"/>
      <c r="AN26" s="79"/>
      <c r="AO26" s="6"/>
      <c r="AP26" s="6"/>
      <c r="AQ26" s="77" t="s">
        <v>82</v>
      </c>
      <c r="AR26" s="78"/>
      <c r="AS26" s="78"/>
      <c r="AT26" s="78"/>
      <c r="AU26" s="78"/>
      <c r="AV26" s="78"/>
      <c r="AW26" s="78"/>
      <c r="AX26" s="78"/>
      <c r="AY26" s="78"/>
      <c r="AZ26" s="78"/>
      <c r="BA26" s="78"/>
      <c r="BB26" s="78"/>
      <c r="BC26" s="78"/>
      <c r="BD26" s="78"/>
      <c r="BE26" s="78"/>
      <c r="BF26" s="78"/>
      <c r="BG26" s="78"/>
      <c r="BH26" s="78"/>
      <c r="BI26" s="78"/>
      <c r="BJ26" s="78"/>
      <c r="BK26" s="78"/>
      <c r="BL26" s="78"/>
      <c r="BM26" s="78"/>
      <c r="BN26" s="78"/>
      <c r="BO26" s="78"/>
      <c r="BP26" s="78"/>
      <c r="BQ26" s="78"/>
      <c r="BR26" s="78"/>
      <c r="BS26" s="78"/>
      <c r="BT26" s="78"/>
      <c r="BU26" s="78"/>
      <c r="BV26" s="78"/>
      <c r="BW26" s="78"/>
      <c r="BX26" s="78"/>
      <c r="BY26" s="78"/>
      <c r="BZ26" s="78"/>
      <c r="CA26" s="78"/>
      <c r="CB26" s="79"/>
    </row>
    <row r="27" spans="3:80" ht="9.75" customHeight="1" thickBot="1">
      <c r="C27" s="80"/>
      <c r="D27" s="81"/>
      <c r="E27" s="81"/>
      <c r="F27" s="81"/>
      <c r="G27" s="81"/>
      <c r="H27" s="81"/>
      <c r="I27" s="81"/>
      <c r="J27" s="81"/>
      <c r="K27" s="81"/>
      <c r="L27" s="81"/>
      <c r="M27" s="81"/>
      <c r="N27" s="81"/>
      <c r="O27" s="81"/>
      <c r="P27" s="81"/>
      <c r="Q27" s="81"/>
      <c r="R27" s="81"/>
      <c r="S27" s="81"/>
      <c r="T27" s="81"/>
      <c r="U27" s="81"/>
      <c r="V27" s="81"/>
      <c r="W27" s="81"/>
      <c r="X27" s="81"/>
      <c r="Y27" s="81"/>
      <c r="Z27" s="81"/>
      <c r="AA27" s="81"/>
      <c r="AB27" s="81"/>
      <c r="AC27" s="81"/>
      <c r="AD27" s="81"/>
      <c r="AE27" s="81"/>
      <c r="AF27" s="81"/>
      <c r="AG27" s="81"/>
      <c r="AH27" s="81"/>
      <c r="AI27" s="81"/>
      <c r="AJ27" s="81"/>
      <c r="AK27" s="81"/>
      <c r="AL27" s="81"/>
      <c r="AM27" s="81"/>
      <c r="AN27" s="82"/>
      <c r="AO27" s="6"/>
      <c r="AP27" s="6"/>
      <c r="AQ27" s="80"/>
      <c r="AR27" s="81"/>
      <c r="AS27" s="81"/>
      <c r="AT27" s="81"/>
      <c r="AU27" s="81"/>
      <c r="AV27" s="81"/>
      <c r="AW27" s="81"/>
      <c r="AX27" s="81"/>
      <c r="AY27" s="81"/>
      <c r="AZ27" s="81"/>
      <c r="BA27" s="81"/>
      <c r="BB27" s="81"/>
      <c r="BC27" s="81"/>
      <c r="BD27" s="81"/>
      <c r="BE27" s="81"/>
      <c r="BF27" s="81"/>
      <c r="BG27" s="81"/>
      <c r="BH27" s="81"/>
      <c r="BI27" s="81"/>
      <c r="BJ27" s="81"/>
      <c r="BK27" s="81"/>
      <c r="BL27" s="81"/>
      <c r="BM27" s="81"/>
      <c r="BN27" s="81"/>
      <c r="BO27" s="81"/>
      <c r="BP27" s="81"/>
      <c r="BQ27" s="81"/>
      <c r="BR27" s="81"/>
      <c r="BS27" s="81"/>
      <c r="BT27" s="81"/>
      <c r="BU27" s="81"/>
      <c r="BV27" s="81"/>
      <c r="BW27" s="81"/>
      <c r="BX27" s="81"/>
      <c r="BY27" s="81"/>
      <c r="BZ27" s="81"/>
      <c r="CA27" s="81"/>
      <c r="CB27" s="82"/>
    </row>
    <row r="28" spans="3:80" ht="9.75" customHeight="1">
      <c r="C28" s="83"/>
      <c r="D28" s="84"/>
      <c r="E28" s="84"/>
      <c r="F28" s="84"/>
      <c r="G28" s="84"/>
      <c r="H28" s="84"/>
      <c r="I28" s="84"/>
      <c r="J28" s="84"/>
      <c r="K28" s="84"/>
      <c r="L28" s="84"/>
      <c r="M28" s="84"/>
      <c r="N28" s="84"/>
      <c r="O28" s="84"/>
      <c r="P28" s="84"/>
      <c r="Q28" s="84"/>
      <c r="R28" s="84"/>
      <c r="S28" s="84"/>
      <c r="T28" s="84"/>
      <c r="U28" s="84"/>
      <c r="V28" s="84"/>
      <c r="W28" s="84"/>
      <c r="X28" s="84"/>
      <c r="Y28" s="84"/>
      <c r="Z28" s="84"/>
      <c r="AA28" s="84"/>
      <c r="AB28" s="84"/>
      <c r="AC28" s="84"/>
      <c r="AD28" s="84"/>
      <c r="AE28" s="84"/>
      <c r="AF28" s="84"/>
      <c r="AG28" s="84"/>
      <c r="AH28" s="84"/>
      <c r="AI28" s="84"/>
      <c r="AJ28" s="84"/>
      <c r="AK28" s="84"/>
      <c r="AL28" s="84"/>
      <c r="AM28" s="84"/>
      <c r="AN28" s="85"/>
      <c r="AQ28" s="83"/>
      <c r="AR28" s="84"/>
      <c r="AS28" s="84"/>
      <c r="AT28" s="84"/>
      <c r="AU28" s="84"/>
      <c r="AV28" s="84"/>
      <c r="AW28" s="84"/>
      <c r="AX28" s="84"/>
      <c r="AY28" s="84"/>
      <c r="AZ28" s="84"/>
      <c r="BA28" s="84"/>
      <c r="BB28" s="84"/>
      <c r="BC28" s="84"/>
      <c r="BD28" s="84"/>
      <c r="BE28" s="84"/>
      <c r="BF28" s="84"/>
      <c r="BG28" s="84"/>
      <c r="BH28" s="84"/>
      <c r="BI28" s="84"/>
      <c r="BJ28" s="84"/>
      <c r="BK28" s="84"/>
      <c r="BL28" s="84"/>
      <c r="BM28" s="84"/>
      <c r="BN28" s="84"/>
      <c r="BO28" s="84"/>
      <c r="BP28" s="84"/>
      <c r="BQ28" s="84"/>
      <c r="BR28" s="84"/>
      <c r="BS28" s="84"/>
      <c r="BT28" s="84"/>
      <c r="BU28" s="84"/>
      <c r="BV28" s="84"/>
      <c r="BW28" s="84"/>
      <c r="BX28" s="84"/>
      <c r="BY28" s="84"/>
      <c r="BZ28" s="84"/>
      <c r="CA28" s="84"/>
      <c r="CB28" s="85"/>
    </row>
    <row r="29" spans="3:80" ht="9.75" customHeight="1">
      <c r="C29" s="86"/>
      <c r="D29" s="87"/>
      <c r="E29" s="87"/>
      <c r="F29" s="87"/>
      <c r="G29" s="87"/>
      <c r="H29" s="87"/>
      <c r="I29" s="87"/>
      <c r="J29" s="87"/>
      <c r="K29" s="87"/>
      <c r="L29" s="87"/>
      <c r="M29" s="87"/>
      <c r="N29" s="87"/>
      <c r="O29" s="87"/>
      <c r="P29" s="87"/>
      <c r="Q29" s="87"/>
      <c r="R29" s="87"/>
      <c r="S29" s="87"/>
      <c r="T29" s="87"/>
      <c r="U29" s="87"/>
      <c r="V29" s="87"/>
      <c r="W29" s="87"/>
      <c r="X29" s="87"/>
      <c r="Y29" s="87"/>
      <c r="Z29" s="87"/>
      <c r="AA29" s="87"/>
      <c r="AB29" s="87"/>
      <c r="AC29" s="87"/>
      <c r="AD29" s="87"/>
      <c r="AE29" s="87"/>
      <c r="AF29" s="87"/>
      <c r="AG29" s="87"/>
      <c r="AH29" s="87"/>
      <c r="AI29" s="87"/>
      <c r="AJ29" s="87"/>
      <c r="AK29" s="87"/>
      <c r="AL29" s="87"/>
      <c r="AM29" s="87"/>
      <c r="AN29" s="88"/>
      <c r="AQ29" s="86"/>
      <c r="AR29" s="87"/>
      <c r="AS29" s="87"/>
      <c r="AT29" s="87"/>
      <c r="AU29" s="87"/>
      <c r="AV29" s="87"/>
      <c r="AW29" s="87"/>
      <c r="AX29" s="87"/>
      <c r="AY29" s="87"/>
      <c r="AZ29" s="87"/>
      <c r="BA29" s="87"/>
      <c r="BB29" s="87"/>
      <c r="BC29" s="87"/>
      <c r="BD29" s="87"/>
      <c r="BE29" s="87"/>
      <c r="BF29" s="87"/>
      <c r="BG29" s="87"/>
      <c r="BH29" s="87"/>
      <c r="BI29" s="87"/>
      <c r="BJ29" s="87"/>
      <c r="BK29" s="87"/>
      <c r="BL29" s="87"/>
      <c r="BM29" s="87"/>
      <c r="BN29" s="87"/>
      <c r="BO29" s="87"/>
      <c r="BP29" s="87"/>
      <c r="BQ29" s="87"/>
      <c r="BR29" s="87"/>
      <c r="BS29" s="87"/>
      <c r="BT29" s="87"/>
      <c r="BU29" s="87"/>
      <c r="BV29" s="87"/>
      <c r="BW29" s="87"/>
      <c r="BX29" s="87"/>
      <c r="BY29" s="87"/>
      <c r="BZ29" s="87"/>
      <c r="CA29" s="87"/>
      <c r="CB29" s="88"/>
    </row>
    <row r="30" spans="3:80" ht="9.75" customHeight="1">
      <c r="C30" s="86"/>
      <c r="D30" s="87"/>
      <c r="E30" s="87"/>
      <c r="F30" s="87"/>
      <c r="G30" s="87"/>
      <c r="H30" s="87"/>
      <c r="I30" s="87"/>
      <c r="J30" s="87"/>
      <c r="K30" s="87"/>
      <c r="L30" s="87"/>
      <c r="M30" s="87"/>
      <c r="N30" s="87"/>
      <c r="O30" s="87"/>
      <c r="P30" s="87"/>
      <c r="Q30" s="87"/>
      <c r="R30" s="87"/>
      <c r="S30" s="87"/>
      <c r="T30" s="87"/>
      <c r="U30" s="87"/>
      <c r="V30" s="87"/>
      <c r="W30" s="87"/>
      <c r="X30" s="87"/>
      <c r="Y30" s="87"/>
      <c r="Z30" s="87"/>
      <c r="AA30" s="87"/>
      <c r="AB30" s="87"/>
      <c r="AC30" s="87"/>
      <c r="AD30" s="87"/>
      <c r="AE30" s="87"/>
      <c r="AF30" s="87"/>
      <c r="AG30" s="87"/>
      <c r="AH30" s="87"/>
      <c r="AI30" s="87"/>
      <c r="AJ30" s="87"/>
      <c r="AK30" s="87"/>
      <c r="AL30" s="87"/>
      <c r="AM30" s="87"/>
      <c r="AN30" s="88"/>
      <c r="AQ30" s="86"/>
      <c r="AR30" s="87"/>
      <c r="AS30" s="87"/>
      <c r="AT30" s="87"/>
      <c r="AU30" s="87"/>
      <c r="AV30" s="87"/>
      <c r="AW30" s="87"/>
      <c r="AX30" s="87"/>
      <c r="AY30" s="87"/>
      <c r="AZ30" s="87"/>
      <c r="BA30" s="87"/>
      <c r="BB30" s="87"/>
      <c r="BC30" s="87"/>
      <c r="BD30" s="87"/>
      <c r="BE30" s="87"/>
      <c r="BF30" s="87"/>
      <c r="BG30" s="87"/>
      <c r="BH30" s="87"/>
      <c r="BI30" s="87"/>
      <c r="BJ30" s="87"/>
      <c r="BK30" s="87"/>
      <c r="BL30" s="87"/>
      <c r="BM30" s="87"/>
      <c r="BN30" s="87"/>
      <c r="BO30" s="87"/>
      <c r="BP30" s="87"/>
      <c r="BQ30" s="87"/>
      <c r="BR30" s="87"/>
      <c r="BS30" s="87"/>
      <c r="BT30" s="87"/>
      <c r="BU30" s="87"/>
      <c r="BV30" s="87"/>
      <c r="BW30" s="87"/>
      <c r="BX30" s="87"/>
      <c r="BY30" s="87"/>
      <c r="BZ30" s="87"/>
      <c r="CA30" s="87"/>
      <c r="CB30" s="88"/>
    </row>
    <row r="31" spans="3:80" ht="9.75" customHeight="1">
      <c r="C31" s="86"/>
      <c r="D31" s="87"/>
      <c r="E31" s="87"/>
      <c r="F31" s="87"/>
      <c r="G31" s="87"/>
      <c r="H31" s="87"/>
      <c r="I31" s="87"/>
      <c r="J31" s="87"/>
      <c r="K31" s="87"/>
      <c r="L31" s="87"/>
      <c r="M31" s="87"/>
      <c r="N31" s="87"/>
      <c r="O31" s="87"/>
      <c r="P31" s="87"/>
      <c r="Q31" s="87"/>
      <c r="R31" s="87"/>
      <c r="S31" s="87"/>
      <c r="T31" s="87"/>
      <c r="U31" s="87"/>
      <c r="V31" s="87"/>
      <c r="W31" s="87"/>
      <c r="X31" s="87"/>
      <c r="Y31" s="87"/>
      <c r="Z31" s="87"/>
      <c r="AA31" s="87"/>
      <c r="AB31" s="87"/>
      <c r="AC31" s="87"/>
      <c r="AD31" s="87"/>
      <c r="AE31" s="87"/>
      <c r="AF31" s="87"/>
      <c r="AG31" s="87"/>
      <c r="AH31" s="87"/>
      <c r="AI31" s="87"/>
      <c r="AJ31" s="87"/>
      <c r="AK31" s="87"/>
      <c r="AL31" s="87"/>
      <c r="AM31" s="87"/>
      <c r="AN31" s="88"/>
      <c r="AQ31" s="86"/>
      <c r="AR31" s="87"/>
      <c r="AS31" s="87"/>
      <c r="AT31" s="87"/>
      <c r="AU31" s="87"/>
      <c r="AV31" s="87"/>
      <c r="AW31" s="87"/>
      <c r="AX31" s="87"/>
      <c r="AY31" s="87"/>
      <c r="AZ31" s="87"/>
      <c r="BA31" s="87"/>
      <c r="BB31" s="87"/>
      <c r="BC31" s="87"/>
      <c r="BD31" s="87"/>
      <c r="BE31" s="87"/>
      <c r="BF31" s="87"/>
      <c r="BG31" s="87"/>
      <c r="BH31" s="87"/>
      <c r="BI31" s="87"/>
      <c r="BJ31" s="87"/>
      <c r="BK31" s="87"/>
      <c r="BL31" s="87"/>
      <c r="BM31" s="87"/>
      <c r="BN31" s="87"/>
      <c r="BO31" s="87"/>
      <c r="BP31" s="87"/>
      <c r="BQ31" s="87"/>
      <c r="BR31" s="87"/>
      <c r="BS31" s="87"/>
      <c r="BT31" s="87"/>
      <c r="BU31" s="87"/>
      <c r="BV31" s="87"/>
      <c r="BW31" s="87"/>
      <c r="BX31" s="87"/>
      <c r="BY31" s="87"/>
      <c r="BZ31" s="87"/>
      <c r="CA31" s="87"/>
      <c r="CB31" s="88"/>
    </row>
    <row r="32" spans="3:80" ht="9.75" customHeight="1">
      <c r="C32" s="86"/>
      <c r="D32" s="87"/>
      <c r="E32" s="87"/>
      <c r="F32" s="87"/>
      <c r="G32" s="87"/>
      <c r="H32" s="87"/>
      <c r="I32" s="87"/>
      <c r="J32" s="87"/>
      <c r="K32" s="87"/>
      <c r="L32" s="87"/>
      <c r="M32" s="87"/>
      <c r="N32" s="87"/>
      <c r="O32" s="87"/>
      <c r="P32" s="87"/>
      <c r="Q32" s="87"/>
      <c r="R32" s="87"/>
      <c r="S32" s="87"/>
      <c r="T32" s="87"/>
      <c r="U32" s="87"/>
      <c r="V32" s="87"/>
      <c r="W32" s="87"/>
      <c r="X32" s="87"/>
      <c r="Y32" s="87"/>
      <c r="Z32" s="87"/>
      <c r="AA32" s="87"/>
      <c r="AB32" s="87"/>
      <c r="AC32" s="87"/>
      <c r="AD32" s="87"/>
      <c r="AE32" s="87"/>
      <c r="AF32" s="87"/>
      <c r="AG32" s="87"/>
      <c r="AH32" s="87"/>
      <c r="AI32" s="87"/>
      <c r="AJ32" s="87"/>
      <c r="AK32" s="87"/>
      <c r="AL32" s="87"/>
      <c r="AM32" s="87"/>
      <c r="AN32" s="88"/>
      <c r="AQ32" s="86"/>
      <c r="AR32" s="87"/>
      <c r="AS32" s="87"/>
      <c r="AT32" s="87"/>
      <c r="AU32" s="87"/>
      <c r="AV32" s="87"/>
      <c r="AW32" s="87"/>
      <c r="AX32" s="87"/>
      <c r="AY32" s="87"/>
      <c r="AZ32" s="87"/>
      <c r="BA32" s="87"/>
      <c r="BB32" s="87"/>
      <c r="BC32" s="87"/>
      <c r="BD32" s="87"/>
      <c r="BE32" s="87"/>
      <c r="BF32" s="87"/>
      <c r="BG32" s="87"/>
      <c r="BH32" s="87"/>
      <c r="BI32" s="87"/>
      <c r="BJ32" s="87"/>
      <c r="BK32" s="87"/>
      <c r="BL32" s="87"/>
      <c r="BM32" s="87"/>
      <c r="BN32" s="87"/>
      <c r="BO32" s="87"/>
      <c r="BP32" s="87"/>
      <c r="BQ32" s="87"/>
      <c r="BR32" s="87"/>
      <c r="BS32" s="87"/>
      <c r="BT32" s="87"/>
      <c r="BU32" s="87"/>
      <c r="BV32" s="87"/>
      <c r="BW32" s="87"/>
      <c r="BX32" s="87"/>
      <c r="BY32" s="87"/>
      <c r="BZ32" s="87"/>
      <c r="CA32" s="87"/>
      <c r="CB32" s="88"/>
    </row>
    <row r="33" spans="3:80" ht="9.75" customHeight="1">
      <c r="C33" s="86"/>
      <c r="D33" s="87"/>
      <c r="E33" s="87"/>
      <c r="F33" s="87"/>
      <c r="G33" s="87"/>
      <c r="H33" s="87"/>
      <c r="I33" s="87"/>
      <c r="J33" s="87"/>
      <c r="K33" s="87"/>
      <c r="L33" s="87"/>
      <c r="M33" s="87"/>
      <c r="N33" s="87"/>
      <c r="O33" s="87"/>
      <c r="P33" s="87"/>
      <c r="Q33" s="87"/>
      <c r="R33" s="87"/>
      <c r="S33" s="87"/>
      <c r="T33" s="87"/>
      <c r="U33" s="87"/>
      <c r="V33" s="87"/>
      <c r="W33" s="87"/>
      <c r="X33" s="87"/>
      <c r="Y33" s="87"/>
      <c r="Z33" s="87"/>
      <c r="AA33" s="87"/>
      <c r="AB33" s="87"/>
      <c r="AC33" s="87"/>
      <c r="AD33" s="87"/>
      <c r="AE33" s="87"/>
      <c r="AF33" s="87"/>
      <c r="AG33" s="87"/>
      <c r="AH33" s="87"/>
      <c r="AI33" s="87"/>
      <c r="AJ33" s="87"/>
      <c r="AK33" s="87"/>
      <c r="AL33" s="87"/>
      <c r="AM33" s="87"/>
      <c r="AN33" s="88"/>
      <c r="AQ33" s="86"/>
      <c r="AR33" s="87"/>
      <c r="AS33" s="87"/>
      <c r="AT33" s="87"/>
      <c r="AU33" s="87"/>
      <c r="AV33" s="87"/>
      <c r="AW33" s="87"/>
      <c r="AX33" s="87"/>
      <c r="AY33" s="87"/>
      <c r="AZ33" s="87"/>
      <c r="BA33" s="87"/>
      <c r="BB33" s="87"/>
      <c r="BC33" s="87"/>
      <c r="BD33" s="87"/>
      <c r="BE33" s="87"/>
      <c r="BF33" s="87"/>
      <c r="BG33" s="87"/>
      <c r="BH33" s="87"/>
      <c r="BI33" s="87"/>
      <c r="BJ33" s="87"/>
      <c r="BK33" s="87"/>
      <c r="BL33" s="87"/>
      <c r="BM33" s="87"/>
      <c r="BN33" s="87"/>
      <c r="BO33" s="87"/>
      <c r="BP33" s="87"/>
      <c r="BQ33" s="87"/>
      <c r="BR33" s="87"/>
      <c r="BS33" s="87"/>
      <c r="BT33" s="87"/>
      <c r="BU33" s="87"/>
      <c r="BV33" s="87"/>
      <c r="BW33" s="87"/>
      <c r="BX33" s="87"/>
      <c r="BY33" s="87"/>
      <c r="BZ33" s="87"/>
      <c r="CA33" s="87"/>
      <c r="CB33" s="88"/>
    </row>
    <row r="34" spans="3:80" ht="9.75" customHeight="1">
      <c r="C34" s="86"/>
      <c r="D34" s="87"/>
      <c r="E34" s="87"/>
      <c r="F34" s="87"/>
      <c r="G34" s="87"/>
      <c r="H34" s="87"/>
      <c r="I34" s="87"/>
      <c r="J34" s="87"/>
      <c r="K34" s="87"/>
      <c r="L34" s="87"/>
      <c r="M34" s="87"/>
      <c r="N34" s="87"/>
      <c r="O34" s="87"/>
      <c r="P34" s="87"/>
      <c r="Q34" s="87"/>
      <c r="R34" s="87"/>
      <c r="S34" s="87"/>
      <c r="T34" s="87"/>
      <c r="U34" s="87"/>
      <c r="V34" s="87"/>
      <c r="W34" s="87"/>
      <c r="X34" s="87"/>
      <c r="Y34" s="87"/>
      <c r="Z34" s="87"/>
      <c r="AA34" s="87"/>
      <c r="AB34" s="87"/>
      <c r="AC34" s="87"/>
      <c r="AD34" s="87"/>
      <c r="AE34" s="87"/>
      <c r="AF34" s="87"/>
      <c r="AG34" s="87"/>
      <c r="AH34" s="87"/>
      <c r="AI34" s="87"/>
      <c r="AJ34" s="87"/>
      <c r="AK34" s="87"/>
      <c r="AL34" s="87"/>
      <c r="AM34" s="87"/>
      <c r="AN34" s="88"/>
      <c r="AQ34" s="86"/>
      <c r="AR34" s="87"/>
      <c r="AS34" s="87"/>
      <c r="AT34" s="87"/>
      <c r="AU34" s="87"/>
      <c r="AV34" s="87"/>
      <c r="AW34" s="87"/>
      <c r="AX34" s="87"/>
      <c r="AY34" s="87"/>
      <c r="AZ34" s="87"/>
      <c r="BA34" s="87"/>
      <c r="BB34" s="87"/>
      <c r="BC34" s="87"/>
      <c r="BD34" s="87"/>
      <c r="BE34" s="87"/>
      <c r="BF34" s="87"/>
      <c r="BG34" s="87"/>
      <c r="BH34" s="87"/>
      <c r="BI34" s="87"/>
      <c r="BJ34" s="87"/>
      <c r="BK34" s="87"/>
      <c r="BL34" s="87"/>
      <c r="BM34" s="87"/>
      <c r="BN34" s="87"/>
      <c r="BO34" s="87"/>
      <c r="BP34" s="87"/>
      <c r="BQ34" s="87"/>
      <c r="BR34" s="87"/>
      <c r="BS34" s="87"/>
      <c r="BT34" s="87"/>
      <c r="BU34" s="87"/>
      <c r="BV34" s="87"/>
      <c r="BW34" s="87"/>
      <c r="BX34" s="87"/>
      <c r="BY34" s="87"/>
      <c r="BZ34" s="87"/>
      <c r="CA34" s="87"/>
      <c r="CB34" s="88"/>
    </row>
    <row r="35" spans="3:80" ht="9.75" customHeight="1">
      <c r="C35" s="86"/>
      <c r="D35" s="87"/>
      <c r="E35" s="87"/>
      <c r="F35" s="87"/>
      <c r="G35" s="87"/>
      <c r="H35" s="87"/>
      <c r="I35" s="87"/>
      <c r="J35" s="87"/>
      <c r="K35" s="87"/>
      <c r="L35" s="87"/>
      <c r="M35" s="87"/>
      <c r="N35" s="87"/>
      <c r="O35" s="87"/>
      <c r="P35" s="87"/>
      <c r="Q35" s="87"/>
      <c r="R35" s="87"/>
      <c r="S35" s="87"/>
      <c r="T35" s="87"/>
      <c r="U35" s="87"/>
      <c r="V35" s="87"/>
      <c r="W35" s="87"/>
      <c r="X35" s="87"/>
      <c r="Y35" s="87"/>
      <c r="Z35" s="87"/>
      <c r="AA35" s="87"/>
      <c r="AB35" s="87"/>
      <c r="AC35" s="87"/>
      <c r="AD35" s="87"/>
      <c r="AE35" s="87"/>
      <c r="AF35" s="87"/>
      <c r="AG35" s="87"/>
      <c r="AH35" s="87"/>
      <c r="AI35" s="87"/>
      <c r="AJ35" s="87"/>
      <c r="AK35" s="87"/>
      <c r="AL35" s="87"/>
      <c r="AM35" s="87"/>
      <c r="AN35" s="88"/>
      <c r="AQ35" s="86"/>
      <c r="AR35" s="87"/>
      <c r="AS35" s="87"/>
      <c r="AT35" s="87"/>
      <c r="AU35" s="87"/>
      <c r="AV35" s="87"/>
      <c r="AW35" s="87"/>
      <c r="AX35" s="87"/>
      <c r="AY35" s="87"/>
      <c r="AZ35" s="87"/>
      <c r="BA35" s="87"/>
      <c r="BB35" s="87"/>
      <c r="BC35" s="87"/>
      <c r="BD35" s="87"/>
      <c r="BE35" s="87"/>
      <c r="BF35" s="87"/>
      <c r="BG35" s="87"/>
      <c r="BH35" s="87"/>
      <c r="BI35" s="87"/>
      <c r="BJ35" s="87"/>
      <c r="BK35" s="87"/>
      <c r="BL35" s="87"/>
      <c r="BM35" s="87"/>
      <c r="BN35" s="87"/>
      <c r="BO35" s="87"/>
      <c r="BP35" s="87"/>
      <c r="BQ35" s="87"/>
      <c r="BR35" s="87"/>
      <c r="BS35" s="87"/>
      <c r="BT35" s="87"/>
      <c r="BU35" s="87"/>
      <c r="BV35" s="87"/>
      <c r="BW35" s="87"/>
      <c r="BX35" s="87"/>
      <c r="BY35" s="87"/>
      <c r="BZ35" s="87"/>
      <c r="CA35" s="87"/>
      <c r="CB35" s="88"/>
    </row>
    <row r="36" spans="3:80" ht="9.75" customHeight="1">
      <c r="C36" s="86"/>
      <c r="D36" s="87"/>
      <c r="E36" s="87"/>
      <c r="F36" s="87"/>
      <c r="G36" s="87"/>
      <c r="H36" s="87"/>
      <c r="I36" s="87"/>
      <c r="J36" s="87"/>
      <c r="K36" s="87"/>
      <c r="L36" s="87"/>
      <c r="M36" s="87"/>
      <c r="N36" s="87"/>
      <c r="O36" s="87"/>
      <c r="P36" s="87"/>
      <c r="Q36" s="87"/>
      <c r="R36" s="87"/>
      <c r="S36" s="87"/>
      <c r="T36" s="87"/>
      <c r="U36" s="87"/>
      <c r="V36" s="87"/>
      <c r="W36" s="87"/>
      <c r="X36" s="87"/>
      <c r="Y36" s="87"/>
      <c r="Z36" s="87"/>
      <c r="AA36" s="87"/>
      <c r="AB36" s="87"/>
      <c r="AC36" s="87"/>
      <c r="AD36" s="87"/>
      <c r="AE36" s="87"/>
      <c r="AF36" s="87"/>
      <c r="AG36" s="87"/>
      <c r="AH36" s="87"/>
      <c r="AI36" s="87"/>
      <c r="AJ36" s="87"/>
      <c r="AK36" s="87"/>
      <c r="AL36" s="87"/>
      <c r="AM36" s="87"/>
      <c r="AN36" s="88"/>
      <c r="AQ36" s="86"/>
      <c r="AR36" s="87"/>
      <c r="AS36" s="87"/>
      <c r="AT36" s="87"/>
      <c r="AU36" s="87"/>
      <c r="AV36" s="87"/>
      <c r="AW36" s="87"/>
      <c r="AX36" s="87"/>
      <c r="AY36" s="87"/>
      <c r="AZ36" s="87"/>
      <c r="BA36" s="87"/>
      <c r="BB36" s="87"/>
      <c r="BC36" s="87"/>
      <c r="BD36" s="87"/>
      <c r="BE36" s="87"/>
      <c r="BF36" s="87"/>
      <c r="BG36" s="87"/>
      <c r="BH36" s="87"/>
      <c r="BI36" s="87"/>
      <c r="BJ36" s="87"/>
      <c r="BK36" s="87"/>
      <c r="BL36" s="87"/>
      <c r="BM36" s="87"/>
      <c r="BN36" s="87"/>
      <c r="BO36" s="87"/>
      <c r="BP36" s="87"/>
      <c r="BQ36" s="87"/>
      <c r="BR36" s="87"/>
      <c r="BS36" s="87"/>
      <c r="BT36" s="87"/>
      <c r="BU36" s="87"/>
      <c r="BV36" s="87"/>
      <c r="BW36" s="87"/>
      <c r="BX36" s="87"/>
      <c r="BY36" s="87"/>
      <c r="BZ36" s="87"/>
      <c r="CA36" s="87"/>
      <c r="CB36" s="88"/>
    </row>
    <row r="37" spans="3:80" ht="9.75" customHeight="1">
      <c r="C37" s="86"/>
      <c r="D37" s="87"/>
      <c r="E37" s="87"/>
      <c r="F37" s="87"/>
      <c r="G37" s="87"/>
      <c r="H37" s="87"/>
      <c r="I37" s="87"/>
      <c r="J37" s="87"/>
      <c r="K37" s="87"/>
      <c r="L37" s="87"/>
      <c r="M37" s="87"/>
      <c r="N37" s="87"/>
      <c r="O37" s="87"/>
      <c r="P37" s="87"/>
      <c r="Q37" s="87"/>
      <c r="R37" s="87"/>
      <c r="S37" s="87"/>
      <c r="T37" s="87"/>
      <c r="U37" s="87"/>
      <c r="V37" s="87"/>
      <c r="W37" s="87"/>
      <c r="X37" s="87"/>
      <c r="Y37" s="87"/>
      <c r="Z37" s="87"/>
      <c r="AA37" s="87"/>
      <c r="AB37" s="87"/>
      <c r="AC37" s="87"/>
      <c r="AD37" s="87"/>
      <c r="AE37" s="87"/>
      <c r="AF37" s="87"/>
      <c r="AG37" s="87"/>
      <c r="AH37" s="87"/>
      <c r="AI37" s="87"/>
      <c r="AJ37" s="87"/>
      <c r="AK37" s="87"/>
      <c r="AL37" s="87"/>
      <c r="AM37" s="87"/>
      <c r="AN37" s="88"/>
      <c r="AQ37" s="86"/>
      <c r="AR37" s="87"/>
      <c r="AS37" s="87"/>
      <c r="AT37" s="87"/>
      <c r="AU37" s="87"/>
      <c r="AV37" s="87"/>
      <c r="AW37" s="87"/>
      <c r="AX37" s="87"/>
      <c r="AY37" s="87"/>
      <c r="AZ37" s="87"/>
      <c r="BA37" s="87"/>
      <c r="BB37" s="87"/>
      <c r="BC37" s="87"/>
      <c r="BD37" s="87"/>
      <c r="BE37" s="87"/>
      <c r="BF37" s="87"/>
      <c r="BG37" s="87"/>
      <c r="BH37" s="87"/>
      <c r="BI37" s="87"/>
      <c r="BJ37" s="87"/>
      <c r="BK37" s="87"/>
      <c r="BL37" s="87"/>
      <c r="BM37" s="87"/>
      <c r="BN37" s="87"/>
      <c r="BO37" s="87"/>
      <c r="BP37" s="87"/>
      <c r="BQ37" s="87"/>
      <c r="BR37" s="87"/>
      <c r="BS37" s="87"/>
      <c r="BT37" s="87"/>
      <c r="BU37" s="87"/>
      <c r="BV37" s="87"/>
      <c r="BW37" s="87"/>
      <c r="BX37" s="87"/>
      <c r="BY37" s="87"/>
      <c r="BZ37" s="87"/>
      <c r="CA37" s="87"/>
      <c r="CB37" s="88"/>
    </row>
    <row r="38" spans="3:80" ht="9.75" customHeight="1">
      <c r="C38" s="86"/>
      <c r="D38" s="87"/>
      <c r="E38" s="87"/>
      <c r="F38" s="87"/>
      <c r="G38" s="87"/>
      <c r="H38" s="87"/>
      <c r="I38" s="87"/>
      <c r="J38" s="87"/>
      <c r="K38" s="87"/>
      <c r="L38" s="87"/>
      <c r="M38" s="87"/>
      <c r="N38" s="87"/>
      <c r="O38" s="87"/>
      <c r="P38" s="87"/>
      <c r="Q38" s="87"/>
      <c r="R38" s="87"/>
      <c r="S38" s="87"/>
      <c r="T38" s="87"/>
      <c r="U38" s="87"/>
      <c r="V38" s="87"/>
      <c r="W38" s="87"/>
      <c r="X38" s="87"/>
      <c r="Y38" s="87"/>
      <c r="Z38" s="87"/>
      <c r="AA38" s="87"/>
      <c r="AB38" s="87"/>
      <c r="AC38" s="87"/>
      <c r="AD38" s="87"/>
      <c r="AE38" s="87"/>
      <c r="AF38" s="87"/>
      <c r="AG38" s="87"/>
      <c r="AH38" s="87"/>
      <c r="AI38" s="87"/>
      <c r="AJ38" s="87"/>
      <c r="AK38" s="87"/>
      <c r="AL38" s="87"/>
      <c r="AM38" s="87"/>
      <c r="AN38" s="88"/>
      <c r="AQ38" s="86"/>
      <c r="AR38" s="87"/>
      <c r="AS38" s="87"/>
      <c r="AT38" s="87"/>
      <c r="AU38" s="87"/>
      <c r="AV38" s="87"/>
      <c r="AW38" s="87"/>
      <c r="AX38" s="87"/>
      <c r="AY38" s="87"/>
      <c r="AZ38" s="87"/>
      <c r="BA38" s="87"/>
      <c r="BB38" s="87"/>
      <c r="BC38" s="87"/>
      <c r="BD38" s="87"/>
      <c r="BE38" s="87"/>
      <c r="BF38" s="87"/>
      <c r="BG38" s="87"/>
      <c r="BH38" s="87"/>
      <c r="BI38" s="87"/>
      <c r="BJ38" s="87"/>
      <c r="BK38" s="87"/>
      <c r="BL38" s="87"/>
      <c r="BM38" s="87"/>
      <c r="BN38" s="87"/>
      <c r="BO38" s="87"/>
      <c r="BP38" s="87"/>
      <c r="BQ38" s="87"/>
      <c r="BR38" s="87"/>
      <c r="BS38" s="87"/>
      <c r="BT38" s="87"/>
      <c r="BU38" s="87"/>
      <c r="BV38" s="87"/>
      <c r="BW38" s="87"/>
      <c r="BX38" s="87"/>
      <c r="BY38" s="87"/>
      <c r="BZ38" s="87"/>
      <c r="CA38" s="87"/>
      <c r="CB38" s="88"/>
    </row>
    <row r="39" spans="3:80" ht="9.75" customHeight="1">
      <c r="C39" s="86"/>
      <c r="D39" s="87"/>
      <c r="E39" s="87"/>
      <c r="F39" s="87"/>
      <c r="G39" s="87"/>
      <c r="H39" s="87"/>
      <c r="I39" s="87"/>
      <c r="J39" s="87"/>
      <c r="K39" s="87"/>
      <c r="L39" s="87"/>
      <c r="M39" s="87"/>
      <c r="N39" s="87"/>
      <c r="O39" s="87"/>
      <c r="P39" s="87"/>
      <c r="Q39" s="87"/>
      <c r="R39" s="87"/>
      <c r="S39" s="87"/>
      <c r="T39" s="87"/>
      <c r="U39" s="87"/>
      <c r="V39" s="87"/>
      <c r="W39" s="87"/>
      <c r="X39" s="87"/>
      <c r="Y39" s="87"/>
      <c r="Z39" s="87"/>
      <c r="AA39" s="87"/>
      <c r="AB39" s="87"/>
      <c r="AC39" s="87"/>
      <c r="AD39" s="87"/>
      <c r="AE39" s="87"/>
      <c r="AF39" s="87"/>
      <c r="AG39" s="87"/>
      <c r="AH39" s="87"/>
      <c r="AI39" s="87"/>
      <c r="AJ39" s="87"/>
      <c r="AK39" s="87"/>
      <c r="AL39" s="87"/>
      <c r="AM39" s="87"/>
      <c r="AN39" s="88"/>
      <c r="AQ39" s="86"/>
      <c r="AR39" s="87"/>
      <c r="AS39" s="87"/>
      <c r="AT39" s="87"/>
      <c r="AU39" s="87"/>
      <c r="AV39" s="87"/>
      <c r="AW39" s="87"/>
      <c r="AX39" s="87"/>
      <c r="AY39" s="87"/>
      <c r="AZ39" s="87"/>
      <c r="BA39" s="87"/>
      <c r="BB39" s="87"/>
      <c r="BC39" s="87"/>
      <c r="BD39" s="87"/>
      <c r="BE39" s="87"/>
      <c r="BF39" s="87"/>
      <c r="BG39" s="87"/>
      <c r="BH39" s="87"/>
      <c r="BI39" s="87"/>
      <c r="BJ39" s="87"/>
      <c r="BK39" s="87"/>
      <c r="BL39" s="87"/>
      <c r="BM39" s="87"/>
      <c r="BN39" s="87"/>
      <c r="BO39" s="87"/>
      <c r="BP39" s="87"/>
      <c r="BQ39" s="87"/>
      <c r="BR39" s="87"/>
      <c r="BS39" s="87"/>
      <c r="BT39" s="87"/>
      <c r="BU39" s="87"/>
      <c r="BV39" s="87"/>
      <c r="BW39" s="87"/>
      <c r="BX39" s="87"/>
      <c r="BY39" s="87"/>
      <c r="BZ39" s="87"/>
      <c r="CA39" s="87"/>
      <c r="CB39" s="88"/>
    </row>
    <row r="40" spans="3:80" ht="9.75" customHeight="1">
      <c r="C40" s="86"/>
      <c r="D40" s="87"/>
      <c r="E40" s="87"/>
      <c r="F40" s="87"/>
      <c r="G40" s="87"/>
      <c r="H40" s="87"/>
      <c r="I40" s="87"/>
      <c r="J40" s="87"/>
      <c r="K40" s="87"/>
      <c r="L40" s="87"/>
      <c r="M40" s="87"/>
      <c r="N40" s="87"/>
      <c r="O40" s="87"/>
      <c r="P40" s="87"/>
      <c r="Q40" s="87"/>
      <c r="R40" s="87"/>
      <c r="S40" s="87"/>
      <c r="T40" s="87"/>
      <c r="U40" s="87"/>
      <c r="V40" s="87"/>
      <c r="W40" s="87"/>
      <c r="X40" s="87"/>
      <c r="Y40" s="87"/>
      <c r="Z40" s="87"/>
      <c r="AA40" s="87"/>
      <c r="AB40" s="87"/>
      <c r="AC40" s="87"/>
      <c r="AD40" s="87"/>
      <c r="AE40" s="87"/>
      <c r="AF40" s="87"/>
      <c r="AG40" s="87"/>
      <c r="AH40" s="87"/>
      <c r="AI40" s="87"/>
      <c r="AJ40" s="87"/>
      <c r="AK40" s="87"/>
      <c r="AL40" s="87"/>
      <c r="AM40" s="87"/>
      <c r="AN40" s="88"/>
      <c r="AQ40" s="86"/>
      <c r="AR40" s="87"/>
      <c r="AS40" s="87"/>
      <c r="AT40" s="87"/>
      <c r="AU40" s="87"/>
      <c r="AV40" s="87"/>
      <c r="AW40" s="87"/>
      <c r="AX40" s="87"/>
      <c r="AY40" s="87"/>
      <c r="AZ40" s="87"/>
      <c r="BA40" s="87"/>
      <c r="BB40" s="87"/>
      <c r="BC40" s="87"/>
      <c r="BD40" s="87"/>
      <c r="BE40" s="87"/>
      <c r="BF40" s="87"/>
      <c r="BG40" s="87"/>
      <c r="BH40" s="87"/>
      <c r="BI40" s="87"/>
      <c r="BJ40" s="87"/>
      <c r="BK40" s="87"/>
      <c r="BL40" s="87"/>
      <c r="BM40" s="87"/>
      <c r="BN40" s="87"/>
      <c r="BO40" s="87"/>
      <c r="BP40" s="87"/>
      <c r="BQ40" s="87"/>
      <c r="BR40" s="87"/>
      <c r="BS40" s="87"/>
      <c r="BT40" s="87"/>
      <c r="BU40" s="87"/>
      <c r="BV40" s="87"/>
      <c r="BW40" s="87"/>
      <c r="BX40" s="87"/>
      <c r="BY40" s="87"/>
      <c r="BZ40" s="87"/>
      <c r="CA40" s="87"/>
      <c r="CB40" s="88"/>
    </row>
    <row r="41" spans="3:80" ht="9.75" customHeight="1">
      <c r="C41" s="86"/>
      <c r="D41" s="87"/>
      <c r="E41" s="87"/>
      <c r="F41" s="87"/>
      <c r="G41" s="87"/>
      <c r="H41" s="87"/>
      <c r="I41" s="87"/>
      <c r="J41" s="87"/>
      <c r="K41" s="87"/>
      <c r="L41" s="87"/>
      <c r="M41" s="87"/>
      <c r="N41" s="87"/>
      <c r="O41" s="87"/>
      <c r="P41" s="87"/>
      <c r="Q41" s="87"/>
      <c r="R41" s="87"/>
      <c r="S41" s="87"/>
      <c r="T41" s="87"/>
      <c r="U41" s="87"/>
      <c r="V41" s="87"/>
      <c r="W41" s="87"/>
      <c r="X41" s="87"/>
      <c r="Y41" s="87"/>
      <c r="Z41" s="87"/>
      <c r="AA41" s="87"/>
      <c r="AB41" s="87"/>
      <c r="AC41" s="87"/>
      <c r="AD41" s="87"/>
      <c r="AE41" s="87"/>
      <c r="AF41" s="87"/>
      <c r="AG41" s="87"/>
      <c r="AH41" s="87"/>
      <c r="AI41" s="87"/>
      <c r="AJ41" s="87"/>
      <c r="AK41" s="87"/>
      <c r="AL41" s="87"/>
      <c r="AM41" s="87"/>
      <c r="AN41" s="88"/>
      <c r="AQ41" s="86"/>
      <c r="AR41" s="87"/>
      <c r="AS41" s="87"/>
      <c r="AT41" s="87"/>
      <c r="AU41" s="87"/>
      <c r="AV41" s="87"/>
      <c r="AW41" s="87"/>
      <c r="AX41" s="87"/>
      <c r="AY41" s="87"/>
      <c r="AZ41" s="87"/>
      <c r="BA41" s="87"/>
      <c r="BB41" s="87"/>
      <c r="BC41" s="87"/>
      <c r="BD41" s="87"/>
      <c r="BE41" s="87"/>
      <c r="BF41" s="87"/>
      <c r="BG41" s="87"/>
      <c r="BH41" s="87"/>
      <c r="BI41" s="87"/>
      <c r="BJ41" s="87"/>
      <c r="BK41" s="87"/>
      <c r="BL41" s="87"/>
      <c r="BM41" s="87"/>
      <c r="BN41" s="87"/>
      <c r="BO41" s="87"/>
      <c r="BP41" s="87"/>
      <c r="BQ41" s="87"/>
      <c r="BR41" s="87"/>
      <c r="BS41" s="87"/>
      <c r="BT41" s="87"/>
      <c r="BU41" s="87"/>
      <c r="BV41" s="87"/>
      <c r="BW41" s="87"/>
      <c r="BX41" s="87"/>
      <c r="BY41" s="87"/>
      <c r="BZ41" s="87"/>
      <c r="CA41" s="87"/>
      <c r="CB41" s="88"/>
    </row>
    <row r="42" spans="3:80" ht="9.75" customHeight="1">
      <c r="C42" s="86"/>
      <c r="D42" s="87"/>
      <c r="E42" s="87"/>
      <c r="F42" s="87"/>
      <c r="G42" s="87"/>
      <c r="H42" s="87"/>
      <c r="I42" s="87"/>
      <c r="J42" s="87"/>
      <c r="K42" s="87"/>
      <c r="L42" s="87"/>
      <c r="M42" s="87"/>
      <c r="N42" s="87"/>
      <c r="O42" s="87"/>
      <c r="P42" s="87"/>
      <c r="Q42" s="87"/>
      <c r="R42" s="87"/>
      <c r="S42" s="87"/>
      <c r="T42" s="87"/>
      <c r="U42" s="87"/>
      <c r="V42" s="87"/>
      <c r="W42" s="87"/>
      <c r="X42" s="87"/>
      <c r="Y42" s="87"/>
      <c r="Z42" s="87"/>
      <c r="AA42" s="87"/>
      <c r="AB42" s="87"/>
      <c r="AC42" s="87"/>
      <c r="AD42" s="87"/>
      <c r="AE42" s="87"/>
      <c r="AF42" s="87"/>
      <c r="AG42" s="87"/>
      <c r="AH42" s="87"/>
      <c r="AI42" s="87"/>
      <c r="AJ42" s="87"/>
      <c r="AK42" s="87"/>
      <c r="AL42" s="87"/>
      <c r="AM42" s="87"/>
      <c r="AN42" s="88"/>
      <c r="AQ42" s="86"/>
      <c r="AR42" s="87"/>
      <c r="AS42" s="87"/>
      <c r="AT42" s="87"/>
      <c r="AU42" s="87"/>
      <c r="AV42" s="87"/>
      <c r="AW42" s="87"/>
      <c r="AX42" s="87"/>
      <c r="AY42" s="87"/>
      <c r="AZ42" s="87"/>
      <c r="BA42" s="87"/>
      <c r="BB42" s="87"/>
      <c r="BC42" s="87"/>
      <c r="BD42" s="87"/>
      <c r="BE42" s="87"/>
      <c r="BF42" s="87"/>
      <c r="BG42" s="87"/>
      <c r="BH42" s="87"/>
      <c r="BI42" s="87"/>
      <c r="BJ42" s="87"/>
      <c r="BK42" s="87"/>
      <c r="BL42" s="87"/>
      <c r="BM42" s="87"/>
      <c r="BN42" s="87"/>
      <c r="BO42" s="87"/>
      <c r="BP42" s="87"/>
      <c r="BQ42" s="87"/>
      <c r="BR42" s="87"/>
      <c r="BS42" s="87"/>
      <c r="BT42" s="87"/>
      <c r="BU42" s="87"/>
      <c r="BV42" s="87"/>
      <c r="BW42" s="87"/>
      <c r="BX42" s="87"/>
      <c r="BY42" s="87"/>
      <c r="BZ42" s="87"/>
      <c r="CA42" s="87"/>
      <c r="CB42" s="88"/>
    </row>
    <row r="43" spans="3:80" ht="9.75" customHeight="1">
      <c r="C43" s="86"/>
      <c r="D43" s="87"/>
      <c r="E43" s="87"/>
      <c r="F43" s="87"/>
      <c r="G43" s="87"/>
      <c r="H43" s="87"/>
      <c r="I43" s="87"/>
      <c r="J43" s="87"/>
      <c r="K43" s="87"/>
      <c r="L43" s="87"/>
      <c r="M43" s="87"/>
      <c r="N43" s="87"/>
      <c r="O43" s="87"/>
      <c r="P43" s="87"/>
      <c r="Q43" s="87"/>
      <c r="R43" s="87"/>
      <c r="S43" s="87"/>
      <c r="T43" s="87"/>
      <c r="U43" s="87"/>
      <c r="V43" s="87"/>
      <c r="W43" s="87"/>
      <c r="X43" s="87"/>
      <c r="Y43" s="87"/>
      <c r="Z43" s="87"/>
      <c r="AA43" s="87"/>
      <c r="AB43" s="87"/>
      <c r="AC43" s="87"/>
      <c r="AD43" s="87"/>
      <c r="AE43" s="87"/>
      <c r="AF43" s="87"/>
      <c r="AG43" s="87"/>
      <c r="AH43" s="87"/>
      <c r="AI43" s="87"/>
      <c r="AJ43" s="87"/>
      <c r="AK43" s="87"/>
      <c r="AL43" s="87"/>
      <c r="AM43" s="87"/>
      <c r="AN43" s="88"/>
      <c r="AQ43" s="86"/>
      <c r="AR43" s="87"/>
      <c r="AS43" s="87"/>
      <c r="AT43" s="87"/>
      <c r="AU43" s="87"/>
      <c r="AV43" s="87"/>
      <c r="AW43" s="87"/>
      <c r="AX43" s="87"/>
      <c r="AY43" s="87"/>
      <c r="AZ43" s="87"/>
      <c r="BA43" s="87"/>
      <c r="BB43" s="87"/>
      <c r="BC43" s="87"/>
      <c r="BD43" s="87"/>
      <c r="BE43" s="87"/>
      <c r="BF43" s="87"/>
      <c r="BG43" s="87"/>
      <c r="BH43" s="87"/>
      <c r="BI43" s="87"/>
      <c r="BJ43" s="87"/>
      <c r="BK43" s="87"/>
      <c r="BL43" s="87"/>
      <c r="BM43" s="87"/>
      <c r="BN43" s="87"/>
      <c r="BO43" s="87"/>
      <c r="BP43" s="87"/>
      <c r="BQ43" s="87"/>
      <c r="BR43" s="87"/>
      <c r="BS43" s="87"/>
      <c r="BT43" s="87"/>
      <c r="BU43" s="87"/>
      <c r="BV43" s="87"/>
      <c r="BW43" s="87"/>
      <c r="BX43" s="87"/>
      <c r="BY43" s="87"/>
      <c r="BZ43" s="87"/>
      <c r="CA43" s="87"/>
      <c r="CB43" s="88"/>
    </row>
    <row r="44" spans="3:80" ht="9.75" customHeight="1">
      <c r="C44" s="86"/>
      <c r="D44" s="87"/>
      <c r="E44" s="87"/>
      <c r="F44" s="87"/>
      <c r="G44" s="87"/>
      <c r="H44" s="87"/>
      <c r="I44" s="87"/>
      <c r="J44" s="87"/>
      <c r="K44" s="87"/>
      <c r="L44" s="87"/>
      <c r="M44" s="87"/>
      <c r="N44" s="87"/>
      <c r="O44" s="87"/>
      <c r="P44" s="87"/>
      <c r="Q44" s="87"/>
      <c r="R44" s="87"/>
      <c r="S44" s="87"/>
      <c r="T44" s="87"/>
      <c r="U44" s="87"/>
      <c r="V44" s="87"/>
      <c r="W44" s="87"/>
      <c r="X44" s="87"/>
      <c r="Y44" s="87"/>
      <c r="Z44" s="87"/>
      <c r="AA44" s="87"/>
      <c r="AB44" s="87"/>
      <c r="AC44" s="87"/>
      <c r="AD44" s="87"/>
      <c r="AE44" s="87"/>
      <c r="AF44" s="87"/>
      <c r="AG44" s="87"/>
      <c r="AH44" s="87"/>
      <c r="AI44" s="87"/>
      <c r="AJ44" s="87"/>
      <c r="AK44" s="87"/>
      <c r="AL44" s="87"/>
      <c r="AM44" s="87"/>
      <c r="AN44" s="88"/>
      <c r="AQ44" s="86"/>
      <c r="AR44" s="87"/>
      <c r="AS44" s="87"/>
      <c r="AT44" s="87"/>
      <c r="AU44" s="87"/>
      <c r="AV44" s="87"/>
      <c r="AW44" s="87"/>
      <c r="AX44" s="87"/>
      <c r="AY44" s="87"/>
      <c r="AZ44" s="87"/>
      <c r="BA44" s="87"/>
      <c r="BB44" s="87"/>
      <c r="BC44" s="87"/>
      <c r="BD44" s="87"/>
      <c r="BE44" s="87"/>
      <c r="BF44" s="87"/>
      <c r="BG44" s="87"/>
      <c r="BH44" s="87"/>
      <c r="BI44" s="87"/>
      <c r="BJ44" s="87"/>
      <c r="BK44" s="87"/>
      <c r="BL44" s="87"/>
      <c r="BM44" s="87"/>
      <c r="BN44" s="87"/>
      <c r="BO44" s="87"/>
      <c r="BP44" s="87"/>
      <c r="BQ44" s="87"/>
      <c r="BR44" s="87"/>
      <c r="BS44" s="87"/>
      <c r="BT44" s="87"/>
      <c r="BU44" s="87"/>
      <c r="BV44" s="87"/>
      <c r="BW44" s="87"/>
      <c r="BX44" s="87"/>
      <c r="BY44" s="87"/>
      <c r="BZ44" s="87"/>
      <c r="CA44" s="87"/>
      <c r="CB44" s="88"/>
    </row>
    <row r="45" spans="3:80" ht="9.75" customHeight="1">
      <c r="C45" s="86"/>
      <c r="D45" s="87"/>
      <c r="E45" s="87"/>
      <c r="F45" s="87"/>
      <c r="G45" s="87"/>
      <c r="H45" s="87"/>
      <c r="I45" s="87"/>
      <c r="J45" s="87"/>
      <c r="K45" s="87"/>
      <c r="L45" s="87"/>
      <c r="M45" s="87"/>
      <c r="N45" s="87"/>
      <c r="O45" s="87"/>
      <c r="P45" s="87"/>
      <c r="Q45" s="87"/>
      <c r="R45" s="87"/>
      <c r="S45" s="87"/>
      <c r="T45" s="87"/>
      <c r="U45" s="87"/>
      <c r="V45" s="87"/>
      <c r="W45" s="87"/>
      <c r="X45" s="87"/>
      <c r="Y45" s="87"/>
      <c r="Z45" s="87"/>
      <c r="AA45" s="87"/>
      <c r="AB45" s="87"/>
      <c r="AC45" s="87"/>
      <c r="AD45" s="87"/>
      <c r="AE45" s="87"/>
      <c r="AF45" s="87"/>
      <c r="AG45" s="87"/>
      <c r="AH45" s="87"/>
      <c r="AI45" s="87"/>
      <c r="AJ45" s="87"/>
      <c r="AK45" s="87"/>
      <c r="AL45" s="87"/>
      <c r="AM45" s="87"/>
      <c r="AN45" s="88"/>
      <c r="AQ45" s="86"/>
      <c r="AR45" s="87"/>
      <c r="AS45" s="87"/>
      <c r="AT45" s="87"/>
      <c r="AU45" s="87"/>
      <c r="AV45" s="87"/>
      <c r="AW45" s="87"/>
      <c r="AX45" s="87"/>
      <c r="AY45" s="87"/>
      <c r="AZ45" s="87"/>
      <c r="BA45" s="87"/>
      <c r="BB45" s="87"/>
      <c r="BC45" s="87"/>
      <c r="BD45" s="87"/>
      <c r="BE45" s="87"/>
      <c r="BF45" s="87"/>
      <c r="BG45" s="87"/>
      <c r="BH45" s="87"/>
      <c r="BI45" s="87"/>
      <c r="BJ45" s="87"/>
      <c r="BK45" s="87"/>
      <c r="BL45" s="87"/>
      <c r="BM45" s="87"/>
      <c r="BN45" s="87"/>
      <c r="BO45" s="87"/>
      <c r="BP45" s="87"/>
      <c r="BQ45" s="87"/>
      <c r="BR45" s="87"/>
      <c r="BS45" s="87"/>
      <c r="BT45" s="87"/>
      <c r="BU45" s="87"/>
      <c r="BV45" s="87"/>
      <c r="BW45" s="87"/>
      <c r="BX45" s="87"/>
      <c r="BY45" s="87"/>
      <c r="BZ45" s="87"/>
      <c r="CA45" s="87"/>
      <c r="CB45" s="88"/>
    </row>
    <row r="46" spans="3:80" ht="9.75" customHeight="1" thickBot="1">
      <c r="C46" s="89"/>
      <c r="D46" s="90"/>
      <c r="E46" s="90"/>
      <c r="F46" s="90"/>
      <c r="G46" s="90"/>
      <c r="H46" s="90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90"/>
      <c r="AG46" s="90"/>
      <c r="AH46" s="90"/>
      <c r="AI46" s="90"/>
      <c r="AJ46" s="90"/>
      <c r="AK46" s="90"/>
      <c r="AL46" s="90"/>
      <c r="AM46" s="90"/>
      <c r="AN46" s="91"/>
      <c r="AQ46" s="89"/>
      <c r="AR46" s="90"/>
      <c r="AS46" s="90"/>
      <c r="AT46" s="90"/>
      <c r="AU46" s="90"/>
      <c r="AV46" s="90"/>
      <c r="AW46" s="90"/>
      <c r="AX46" s="90"/>
      <c r="AY46" s="90"/>
      <c r="AZ46" s="90"/>
      <c r="BA46" s="90"/>
      <c r="BB46" s="90"/>
      <c r="BC46" s="90"/>
      <c r="BD46" s="90"/>
      <c r="BE46" s="90"/>
      <c r="BF46" s="90"/>
      <c r="BG46" s="90"/>
      <c r="BH46" s="90"/>
      <c r="BI46" s="90"/>
      <c r="BJ46" s="90"/>
      <c r="BK46" s="90"/>
      <c r="BL46" s="90"/>
      <c r="BM46" s="90"/>
      <c r="BN46" s="90"/>
      <c r="BO46" s="90"/>
      <c r="BP46" s="90"/>
      <c r="BQ46" s="90"/>
      <c r="BR46" s="90"/>
      <c r="BS46" s="90"/>
      <c r="BT46" s="90"/>
      <c r="BU46" s="90"/>
      <c r="BV46" s="90"/>
      <c r="BW46" s="90"/>
      <c r="BX46" s="90"/>
      <c r="BY46" s="90"/>
      <c r="BZ46" s="90"/>
      <c r="CA46" s="90"/>
      <c r="CB46" s="91"/>
    </row>
  </sheetData>
  <mergeCells count="12">
    <mergeCell ref="W2:AN3"/>
    <mergeCell ref="W4:AN7"/>
    <mergeCell ref="AQ2:BH3"/>
    <mergeCell ref="AQ4:BH7"/>
    <mergeCell ref="BK2:CB3"/>
    <mergeCell ref="BK4:CB7"/>
    <mergeCell ref="C9:CB10"/>
    <mergeCell ref="C11:CB24"/>
    <mergeCell ref="C26:AN27"/>
    <mergeCell ref="C28:AN46"/>
    <mergeCell ref="AQ26:CB27"/>
    <mergeCell ref="AQ28:CB46"/>
  </mergeCells>
  <pageMargins left="0.511811024" right="0.511811024" top="0.78740157499999996" bottom="0.78740157499999996" header="0.31496062000000002" footer="0.31496062000000002"/>
  <drawing r:id="rId1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_rels/item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4.xml"/></Relationships>
</file>

<file path=customXml/_rels/item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5.xml"/></Relationships>
</file>

<file path=customXml/_rels/item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6.xml"/></Relationships>
</file>

<file path=customXml/_rels/item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7.xml"/></Relationships>
</file>

<file path=customXml/_rels/item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8.xml"/></Relationships>
</file>

<file path=customXml/_rels/item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9.xml"/></Relationships>
</file>

<file path=customXml/_rels/item1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0.xml"/></Relationships>
</file>

<file path=customXml/_rels/item1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1.xml"/></Relationships>
</file>

<file path=customXml/_rels/item1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2.xml"/></Relationships>
</file>

<file path=customXml/_rels/item1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3.xml"/></Relationships>
</file>

<file path=customXml/_rels/item14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4.xml"/></Relationships>
</file>

<file path=customXml/_rels/item15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5.xml"/></Relationships>
</file>

<file path=customXml/_rels/item16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6.xml"/></Relationships>
</file>

<file path=customXml/_rels/item17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7.xml"/></Relationships>
</file>

<file path=customXml/_rels/item18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8.xml"/></Relationships>
</file>

<file path=customXml/_rels/item19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9.xml"/></Relationships>
</file>

<file path=customXml/_rels/item20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0.xml"/></Relationships>
</file>

<file path=customXml/_rels/item2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1.xml"/></Relationships>
</file>

<file path=customXml/_rels/item2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2.xml"/></Relationships>
</file>

<file path=customXml/item1.xml>�� 
</file>

<file path=customXml/item2.xml>�� 
</file>

<file path=customXml/item3.xml>�� 
</file>

<file path=customXml/item4.xml>�� 
</file>

<file path=customXml/item5.xml>�� 
</file>

<file path=customXml/item6.xml>�� 
</file>

<file path=customXml/item7.xml>�� 
</file>

<file path=customXml/item8.xml>�� 
</file>

<file path=customXml/item9.xml>�� 
</file>

<file path=customXml/item10.xml>�� 
</file>

<file path=customXml/item11.xml>�� 
</file>

<file path=customXml/item12.xml>�� 
</file>

<file path=customXml/item13.xml>�� 
</file>

<file path=customXml/item14.xml>�� 
</file>

<file path=customXml/item15.xml>�� 
</file>

<file path=customXml/item16.xml>�� 
</file>

<file path=customXml/item17.xml>�� 
</file>

<file path=customXml/item18.xml>�� 
</file>

<file path=customXml/item19.xml>�� 
</file>

<file path=customXml/item20.xml>�� 
</file>

<file path=customXml/item21.xml>�� 
</file>

<file path=customXml/item22.xml>�� 
</file>

<file path=customXml/itemProps1.xml><?xml version="1.0" encoding="utf-8"?>
<ds:datastoreItem xmlns:ds="http://schemas.openxmlformats.org/officeDocument/2006/customXml" ds:itemID="{0788B3A2-02D4-4EFE-BC8A-65842AEA60EF}">
  <ds:schemaRefs/>
</ds:datastoreItem>
</file>

<file path=customXml/itemProps2.xml><?xml version="1.0" encoding="utf-8"?>
<ds:datastoreItem xmlns:ds="http://schemas.openxmlformats.org/officeDocument/2006/customXml" ds:itemID="{B698B2F0-99EF-443B-B340-D43934DE4810}">
  <ds:schemaRefs/>
</ds:datastoreItem>
</file>

<file path=customXml/itemProps3.xml><?xml version="1.0" encoding="utf-8"?>
<ds:datastoreItem xmlns:ds="http://schemas.openxmlformats.org/officeDocument/2006/customXml" ds:itemID="{E96A1379-02F6-44C5-9806-0AA83CC192A6}">
  <ds:schemaRefs/>
</ds:datastoreItem>
</file>

<file path=customXml/itemProps4.xml><?xml version="1.0" encoding="utf-8"?>
<ds:datastoreItem xmlns:ds="http://schemas.openxmlformats.org/officeDocument/2006/customXml" ds:itemID="{D1C17485-DBD4-4EB4-B2A5-8848091B2942}">
  <ds:schemaRefs/>
</ds:datastoreItem>
</file>

<file path=customXml/itemProps5.xml><?xml version="1.0" encoding="utf-8"?>
<ds:datastoreItem xmlns:ds="http://schemas.openxmlformats.org/officeDocument/2006/customXml" ds:itemID="{953C78BA-A8A7-4FE9-8D58-F77202C9416A}">
  <ds:schemaRefs/>
</ds:datastoreItem>
</file>

<file path=customXml/itemProps6.xml><?xml version="1.0" encoding="utf-8"?>
<ds:datastoreItem xmlns:ds="http://schemas.openxmlformats.org/officeDocument/2006/customXml" ds:itemID="{D334BE60-0976-413A-B855-BA8994C2A32E}">
  <ds:schemaRefs/>
</ds:datastoreItem>
</file>

<file path=customXml/itemProps7.xml><?xml version="1.0" encoding="utf-8"?>
<ds:datastoreItem xmlns:ds="http://schemas.openxmlformats.org/officeDocument/2006/customXml" ds:itemID="{6E25D361-22E0-45A8-A73F-C54914DC8A2B}">
  <ds:schemaRefs/>
</ds:datastoreItem>
</file>

<file path=customXml/itemProps8.xml><?xml version="1.0" encoding="utf-8"?>
<ds:datastoreItem xmlns:ds="http://schemas.openxmlformats.org/officeDocument/2006/customXml" ds:itemID="{E137AB40-1728-4643-B64A-5DFE56A4798E}">
  <ds:schemaRefs/>
</ds:datastoreItem>
</file>

<file path=customXml/itemProps9.xml><?xml version="1.0" encoding="utf-8"?>
<ds:datastoreItem xmlns:ds="http://schemas.openxmlformats.org/officeDocument/2006/customXml" ds:itemID="{444741E7-D8AE-4EA1-89B1-8A6FF76C35B3}">
  <ds:schemaRefs/>
</ds:datastoreItem>
</file>

<file path=customXml/itemProps10.xml><?xml version="1.0" encoding="utf-8"?>
<ds:datastoreItem xmlns:ds="http://schemas.openxmlformats.org/officeDocument/2006/customXml" ds:itemID="{14F30766-877F-4CEE-8B61-99D4DA6E0404}">
  <ds:schemaRefs/>
</ds:datastoreItem>
</file>

<file path=customXml/itemProps11.xml><?xml version="1.0" encoding="utf-8"?>
<ds:datastoreItem xmlns:ds="http://schemas.openxmlformats.org/officeDocument/2006/customXml" ds:itemID="{CC3EA485-F448-47CD-990A-AFE6B6D82971}">
  <ds:schemaRefs>
    <ds:schemaRef ds:uri="http://schemas.microsoft.com/DataMashup"/>
  </ds:schemaRefs>
</ds:datastoreItem>
</file>

<file path=customXml/itemProps12.xml><?xml version="1.0" encoding="utf-8"?>
<ds:datastoreItem xmlns:ds="http://schemas.openxmlformats.org/officeDocument/2006/customXml" ds:itemID="{6E87F8A6-5B3C-4ADE-98DB-48C175F0A2B0}">
  <ds:schemaRefs/>
</ds:datastoreItem>
</file>

<file path=customXml/itemProps13.xml><?xml version="1.0" encoding="utf-8"?>
<ds:datastoreItem xmlns:ds="http://schemas.openxmlformats.org/officeDocument/2006/customXml" ds:itemID="{7F388E17-9E90-403C-9051-71B961CA28EB}">
  <ds:schemaRefs/>
</ds:datastoreItem>
</file>

<file path=customXml/itemProps14.xml><?xml version="1.0" encoding="utf-8"?>
<ds:datastoreItem xmlns:ds="http://schemas.openxmlformats.org/officeDocument/2006/customXml" ds:itemID="{4ACD67B1-C6F3-4AE6-87B3-2A1B9C174D71}">
  <ds:schemaRefs/>
</ds:datastoreItem>
</file>

<file path=customXml/itemProps15.xml><?xml version="1.0" encoding="utf-8"?>
<ds:datastoreItem xmlns:ds="http://schemas.openxmlformats.org/officeDocument/2006/customXml" ds:itemID="{976831BA-0CE6-4B82-881B-24FD45E1155C}">
  <ds:schemaRefs/>
</ds:datastoreItem>
</file>

<file path=customXml/itemProps16.xml><?xml version="1.0" encoding="utf-8"?>
<ds:datastoreItem xmlns:ds="http://schemas.openxmlformats.org/officeDocument/2006/customXml" ds:itemID="{26CE3CB4-35A6-4571-8FBA-66B0174A6B73}">
  <ds:schemaRefs/>
</ds:datastoreItem>
</file>

<file path=customXml/itemProps17.xml><?xml version="1.0" encoding="utf-8"?>
<ds:datastoreItem xmlns:ds="http://schemas.openxmlformats.org/officeDocument/2006/customXml" ds:itemID="{6ED47E87-E7BA-42F0-9CF3-2FEDCB5BBD41}">
  <ds:schemaRefs/>
</ds:datastoreItem>
</file>

<file path=customXml/itemProps18.xml><?xml version="1.0" encoding="utf-8"?>
<ds:datastoreItem xmlns:ds="http://schemas.openxmlformats.org/officeDocument/2006/customXml" ds:itemID="{B21C3F93-5E73-42A5-930D-80E9914997CC}">
  <ds:schemaRefs/>
</ds:datastoreItem>
</file>

<file path=customXml/itemProps19.xml><?xml version="1.0" encoding="utf-8"?>
<ds:datastoreItem xmlns:ds="http://schemas.openxmlformats.org/officeDocument/2006/customXml" ds:itemID="{7A3095A6-FC47-4552-B718-7176E32015FE}">
  <ds:schemaRefs/>
</ds:datastoreItem>
</file>

<file path=customXml/itemProps20.xml><?xml version="1.0" encoding="utf-8"?>
<ds:datastoreItem xmlns:ds="http://schemas.openxmlformats.org/officeDocument/2006/customXml" ds:itemID="{EC351069-2B24-4ABC-9172-DDEBC3337B28}">
  <ds:schemaRefs/>
</ds:datastoreItem>
</file>

<file path=customXml/itemProps21.xml><?xml version="1.0" encoding="utf-8"?>
<ds:datastoreItem xmlns:ds="http://schemas.openxmlformats.org/officeDocument/2006/customXml" ds:itemID="{442883D5-12B0-44A6-993D-EE3FBA143A0E}">
  <ds:schemaRefs/>
</ds:datastoreItem>
</file>

<file path=customXml/itemProps22.xml><?xml version="1.0" encoding="utf-8"?>
<ds:datastoreItem xmlns:ds="http://schemas.openxmlformats.org/officeDocument/2006/customXml" ds:itemID="{F2BA7D88-EEB5-48EE-9388-F98FFB4ED8A4}">
  <ds:schemaRefs/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16</vt:i4>
      </vt:variant>
      <vt:variant>
        <vt:lpstr>Intervalos Nomeados</vt:lpstr>
      </vt:variant>
      <vt:variant>
        <vt:i4>6</vt:i4>
      </vt:variant>
    </vt:vector>
  </HeadingPairs>
  <TitlesOfParts>
    <vt:vector size="22" baseType="lpstr">
      <vt:lpstr>Menu</vt:lpstr>
      <vt:lpstr>Produtos</vt:lpstr>
      <vt:lpstr>Filtro Avançado</vt:lpstr>
      <vt:lpstr>DN_Vendedores</vt:lpstr>
      <vt:lpstr>Vendedores</vt:lpstr>
      <vt:lpstr>Vendas</vt:lpstr>
      <vt:lpstr>DN_Vendas_Hist</vt:lpstr>
      <vt:lpstr>Vendas Histórico</vt:lpstr>
      <vt:lpstr>Consultas</vt:lpstr>
      <vt:lpstr>DN_Produtos</vt:lpstr>
      <vt:lpstr>Planilha1</vt:lpstr>
      <vt:lpstr>DN_Vendas</vt:lpstr>
      <vt:lpstr>Cadastros Auxiliares</vt:lpstr>
      <vt:lpstr>PowerPivot</vt:lpstr>
      <vt:lpstr>Dashboard Histórico</vt:lpstr>
      <vt:lpstr>Dashboard</vt:lpstr>
      <vt:lpstr>'Filtro Avançado'!Area_de_extracao</vt:lpstr>
      <vt:lpstr>'Filtro Avançado'!Criterios</vt:lpstr>
      <vt:lpstr>Desc_Categorias</vt:lpstr>
      <vt:lpstr>Desc_Quantidades</vt:lpstr>
      <vt:lpstr>Desc_TabelaToda</vt:lpstr>
      <vt:lpstr>TB_Vendas_Hist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Office Resolve Testes</dc:creator>
  <cp:lastModifiedBy>EA - Naciaria Oliveira Melo</cp:lastModifiedBy>
  <cp:lastPrinted>2023-06-07T14:57:58Z</cp:lastPrinted>
  <dcterms:created xsi:type="dcterms:W3CDTF">2023-06-02T17:54:12Z</dcterms:created>
  <dcterms:modified xsi:type="dcterms:W3CDTF">2025-02-23T01:06:08Z</dcterms:modified>
</cp:coreProperties>
</file>